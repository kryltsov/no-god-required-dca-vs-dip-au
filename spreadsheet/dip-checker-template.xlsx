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Dip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>
        <f>GOOGLEFINANCE("ASX:VAS","all",TODAY()-620,TODAY())</f>
        <v/>
      </c>
      <c r="H1" t="inlineStr">
        <is>
          <t>Change ASX:VAS to your fund (for example ASX:VGS). Google Sheets fills columns A to 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50-day avg</t>
        </is>
      </c>
      <c r="F1" t="inlineStr">
        <is>
          <t>200-day avg</t>
        </is>
      </c>
      <c r="G1" t="inlineStr">
        <is>
          <t>Bollinger lower band</t>
        </is>
      </c>
      <c r="H1" t="inlineStr">
        <is>
          <t>Gain</t>
        </is>
      </c>
      <c r="I1" t="inlineStr">
        <is>
          <t>Loss</t>
        </is>
      </c>
      <c r="J1" t="inlineStr">
        <is>
          <t>Avg gain (14)</t>
        </is>
      </c>
      <c r="K1" t="inlineStr">
        <is>
          <t>Avg loss (14)</t>
        </is>
      </c>
      <c r="L1" t="inlineStr">
        <is>
          <t>RSI (14)</t>
        </is>
      </c>
      <c r="M1" t="inlineStr">
        <is>
          <t>Stoch raw %K</t>
        </is>
      </c>
      <c r="N1" t="inlineStr">
        <is>
          <t>Stoch %K (3)</t>
        </is>
      </c>
      <c r="O1" t="inlineStr">
        <is>
          <t>RSI &lt; 30</t>
        </is>
      </c>
      <c r="P1" t="inlineStr">
        <is>
          <t>Stochastic &lt; 20</t>
        </is>
      </c>
      <c r="Q1" t="inlineStr">
        <is>
          <t>50-day pullback</t>
        </is>
      </c>
      <c r="R1" t="inlineStr">
        <is>
          <t>200-day pullback</t>
        </is>
      </c>
      <c r="S1" t="inlineStr">
        <is>
          <t>Below Bollinger</t>
        </is>
      </c>
      <c r="T1" t="inlineStr">
        <is>
          <t>Any signal today?</t>
        </is>
      </c>
      <c r="V1" t="inlineStr">
        <is>
          <t>Latest date</t>
        </is>
      </c>
      <c r="W1">
        <f>INDEX(A2:A401,COUNT(B2:B401))</f>
        <v/>
      </c>
    </row>
    <row r="2">
      <c r="A2">
        <f>IF(Prices!A2="","",Prices!A2)</f>
        <v/>
      </c>
      <c r="B2">
        <f>IF(Prices!E2="","",Prices!E2)</f>
        <v/>
      </c>
      <c r="C2">
        <f>IF(Prices!C2="","",Prices!C2)</f>
        <v/>
      </c>
      <c r="D2">
        <f>IF(Prices!D2="","",Prices!D2)</f>
        <v/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>
        <f>IF(ISNUMBER(L2),L2&lt;30,FALSE)</f>
        <v/>
      </c>
      <c r="P2">
        <f>IF(ISNUMBER(N2),N2&lt;20,FALSE)</f>
        <v/>
      </c>
      <c r="Q2">
        <f>FALSE</f>
        <v/>
      </c>
      <c r="R2">
        <f>FALSE</f>
        <v/>
      </c>
      <c r="S2">
        <f>IF(ISNUMBER(G2),B2&lt;G2,FALSE)</f>
        <v/>
      </c>
      <c r="T2">
        <f>OR(O2,P2,Q2,R2,S2)</f>
        <v/>
      </c>
      <c r="V2" t="inlineStr">
        <is>
          <t>Latest close</t>
        </is>
      </c>
      <c r="W2">
        <f>INDEX(B2:B401,COUNT(B2:B401))</f>
        <v/>
      </c>
    </row>
    <row r="3">
      <c r="A3">
        <f>IF(Prices!A3="","",Prices!A3)</f>
        <v/>
      </c>
      <c r="B3">
        <f>IF(Prices!E3="","",Prices!E3)</f>
        <v/>
      </c>
      <c r="C3">
        <f>IF(Prices!C3="","",Prices!C3)</f>
        <v/>
      </c>
      <c r="D3">
        <f>IF(Prices!D3="","",Prices!D3)</f>
        <v/>
      </c>
      <c r="E3" t="inlineStr"/>
      <c r="F3" t="inlineStr"/>
      <c r="G3" t="inlineStr"/>
      <c r="H3">
        <f>MAX(B3-B2,0)</f>
        <v/>
      </c>
      <c r="I3">
        <f>MAX(B2-B3,0)</f>
        <v/>
      </c>
      <c r="J3" t="inlineStr"/>
      <c r="K3" t="inlineStr"/>
      <c r="L3" t="inlineStr"/>
      <c r="M3" t="inlineStr"/>
      <c r="N3" t="inlineStr"/>
      <c r="O3">
        <f>IF(ISNUMBER(L3),L3&lt;30,FALSE)</f>
        <v/>
      </c>
      <c r="P3">
        <f>IF(ISNUMBER(N3),N3&lt;20,FALSE)</f>
        <v/>
      </c>
      <c r="Q3">
        <f>FALSE</f>
        <v/>
      </c>
      <c r="R3">
        <f>FALSE</f>
        <v/>
      </c>
      <c r="S3">
        <f>IF(ISNUMBER(G3),B3&lt;G3,FALSE)</f>
        <v/>
      </c>
      <c r="T3">
        <f>OR(O3,P3,Q3,R3,S3)</f>
        <v/>
      </c>
      <c r="V3" t="inlineStr">
        <is>
          <t>RSI &lt; 30</t>
        </is>
      </c>
      <c r="W3">
        <f>INDEX(O2:O401,COUNT(B2:B401))</f>
        <v/>
      </c>
    </row>
    <row r="4">
      <c r="A4">
        <f>IF(Prices!A4="","",Prices!A4)</f>
        <v/>
      </c>
      <c r="B4">
        <f>IF(Prices!E4="","",Prices!E4)</f>
        <v/>
      </c>
      <c r="C4">
        <f>IF(Prices!C4="","",Prices!C4)</f>
        <v/>
      </c>
      <c r="D4">
        <f>IF(Prices!D4="","",Prices!D4)</f>
        <v/>
      </c>
      <c r="E4" t="inlineStr"/>
      <c r="F4" t="inlineStr"/>
      <c r="G4" t="inlineStr"/>
      <c r="H4">
        <f>MAX(B4-B3,0)</f>
        <v/>
      </c>
      <c r="I4">
        <f>MAX(B3-B4,0)</f>
        <v/>
      </c>
      <c r="J4" t="inlineStr"/>
      <c r="K4" t="inlineStr"/>
      <c r="L4" t="inlineStr"/>
      <c r="M4" t="inlineStr"/>
      <c r="N4" t="inlineStr"/>
      <c r="O4">
        <f>IF(ISNUMBER(L4),L4&lt;30,FALSE)</f>
        <v/>
      </c>
      <c r="P4">
        <f>IF(ISNUMBER(N4),N4&lt;20,FALSE)</f>
        <v/>
      </c>
      <c r="Q4">
        <f>FALSE</f>
        <v/>
      </c>
      <c r="R4">
        <f>FALSE</f>
        <v/>
      </c>
      <c r="S4">
        <f>IF(ISNUMBER(G4),B4&lt;G4,FALSE)</f>
        <v/>
      </c>
      <c r="T4">
        <f>OR(O4,P4,Q4,R4,S4)</f>
        <v/>
      </c>
      <c r="V4" t="inlineStr">
        <is>
          <t>Stochastic &lt; 20</t>
        </is>
      </c>
      <c r="W4">
        <f>INDEX(P2:P401,COUNT(B2:B401))</f>
        <v/>
      </c>
    </row>
    <row r="5">
      <c r="A5">
        <f>IF(Prices!A5="","",Prices!A5)</f>
        <v/>
      </c>
      <c r="B5">
        <f>IF(Prices!E5="","",Prices!E5)</f>
        <v/>
      </c>
      <c r="C5">
        <f>IF(Prices!C5="","",Prices!C5)</f>
        <v/>
      </c>
      <c r="D5">
        <f>IF(Prices!D5="","",Prices!D5)</f>
        <v/>
      </c>
      <c r="E5" t="inlineStr"/>
      <c r="F5" t="inlineStr"/>
      <c r="G5" t="inlineStr"/>
      <c r="H5">
        <f>MAX(B5-B4,0)</f>
        <v/>
      </c>
      <c r="I5">
        <f>MAX(B4-B5,0)</f>
        <v/>
      </c>
      <c r="J5" t="inlineStr"/>
      <c r="K5" t="inlineStr"/>
      <c r="L5" t="inlineStr"/>
      <c r="M5" t="inlineStr"/>
      <c r="N5" t="inlineStr"/>
      <c r="O5">
        <f>IF(ISNUMBER(L5),L5&lt;30,FALSE)</f>
        <v/>
      </c>
      <c r="P5">
        <f>IF(ISNUMBER(N5),N5&lt;20,FALSE)</f>
        <v/>
      </c>
      <c r="Q5">
        <f>FALSE</f>
        <v/>
      </c>
      <c r="R5">
        <f>FALSE</f>
        <v/>
      </c>
      <c r="S5">
        <f>IF(ISNUMBER(G5),B5&lt;G5,FALSE)</f>
        <v/>
      </c>
      <c r="T5">
        <f>OR(O5,P5,Q5,R5,S5)</f>
        <v/>
      </c>
      <c r="V5" t="inlineStr">
        <is>
          <t>50-day pullback</t>
        </is>
      </c>
      <c r="W5">
        <f>INDEX(Q2:Q401,COUNT(B2:B401))</f>
        <v/>
      </c>
    </row>
    <row r="6">
      <c r="A6">
        <f>IF(Prices!A6="","",Prices!A6)</f>
        <v/>
      </c>
      <c r="B6">
        <f>IF(Prices!E6="","",Prices!E6)</f>
        <v/>
      </c>
      <c r="C6">
        <f>IF(Prices!C6="","",Prices!C6)</f>
        <v/>
      </c>
      <c r="D6">
        <f>IF(Prices!D6="","",Prices!D6)</f>
        <v/>
      </c>
      <c r="E6" t="inlineStr"/>
      <c r="F6" t="inlineStr"/>
      <c r="G6" t="inlineStr"/>
      <c r="H6">
        <f>MAX(B6-B5,0)</f>
        <v/>
      </c>
      <c r="I6">
        <f>MAX(B5-B6,0)</f>
        <v/>
      </c>
      <c r="J6" t="inlineStr"/>
      <c r="K6" t="inlineStr"/>
      <c r="L6" t="inlineStr"/>
      <c r="M6" t="inlineStr"/>
      <c r="N6" t="inlineStr"/>
      <c r="O6">
        <f>IF(ISNUMBER(L6),L6&lt;30,FALSE)</f>
        <v/>
      </c>
      <c r="P6">
        <f>IF(ISNUMBER(N6),N6&lt;20,FALSE)</f>
        <v/>
      </c>
      <c r="Q6">
        <f>FALSE</f>
        <v/>
      </c>
      <c r="R6">
        <f>FALSE</f>
        <v/>
      </c>
      <c r="S6">
        <f>IF(ISNUMBER(G6),B6&lt;G6,FALSE)</f>
        <v/>
      </c>
      <c r="T6">
        <f>OR(O6,P6,Q6,R6,S6)</f>
        <v/>
      </c>
      <c r="V6" t="inlineStr">
        <is>
          <t>200-day pullback</t>
        </is>
      </c>
      <c r="W6">
        <f>INDEX(R2:R401,COUNT(B2:B401))</f>
        <v/>
      </c>
    </row>
    <row r="7">
      <c r="A7">
        <f>IF(Prices!A7="","",Prices!A7)</f>
        <v/>
      </c>
      <c r="B7">
        <f>IF(Prices!E7="","",Prices!E7)</f>
        <v/>
      </c>
      <c r="C7">
        <f>IF(Prices!C7="","",Prices!C7)</f>
        <v/>
      </c>
      <c r="D7">
        <f>IF(Prices!D7="","",Prices!D7)</f>
        <v/>
      </c>
      <c r="E7" t="inlineStr"/>
      <c r="F7" t="inlineStr"/>
      <c r="G7" t="inlineStr"/>
      <c r="H7">
        <f>MAX(B7-B6,0)</f>
        <v/>
      </c>
      <c r="I7">
        <f>MAX(B6-B7,0)</f>
        <v/>
      </c>
      <c r="J7" t="inlineStr"/>
      <c r="K7" t="inlineStr"/>
      <c r="L7" t="inlineStr"/>
      <c r="M7" t="inlineStr"/>
      <c r="N7" t="inlineStr"/>
      <c r="O7">
        <f>IF(ISNUMBER(L7),L7&lt;30,FALSE)</f>
        <v/>
      </c>
      <c r="P7">
        <f>IF(ISNUMBER(N7),N7&lt;20,FALSE)</f>
        <v/>
      </c>
      <c r="Q7">
        <f>FALSE</f>
        <v/>
      </c>
      <c r="R7">
        <f>FALSE</f>
        <v/>
      </c>
      <c r="S7">
        <f>IF(ISNUMBER(G7),B7&lt;G7,FALSE)</f>
        <v/>
      </c>
      <c r="T7">
        <f>OR(O7,P7,Q7,R7,S7)</f>
        <v/>
      </c>
      <c r="V7" t="inlineStr">
        <is>
          <t>Below Bollinger band</t>
        </is>
      </c>
      <c r="W7">
        <f>INDEX(S2:S401,COUNT(B2:B401))</f>
        <v/>
      </c>
    </row>
    <row r="8">
      <c r="A8">
        <f>IF(Prices!A8="","",Prices!A8)</f>
        <v/>
      </c>
      <c r="B8">
        <f>IF(Prices!E8="","",Prices!E8)</f>
        <v/>
      </c>
      <c r="C8">
        <f>IF(Prices!C8="","",Prices!C8)</f>
        <v/>
      </c>
      <c r="D8">
        <f>IF(Prices!D8="","",Prices!D8)</f>
        <v/>
      </c>
      <c r="E8" t="inlineStr"/>
      <c r="F8" t="inlineStr"/>
      <c r="G8" t="inlineStr"/>
      <c r="H8">
        <f>MAX(B8-B7,0)</f>
        <v/>
      </c>
      <c r="I8">
        <f>MAX(B7-B8,0)</f>
        <v/>
      </c>
      <c r="J8" t="inlineStr"/>
      <c r="K8" t="inlineStr"/>
      <c r="L8" t="inlineStr"/>
      <c r="M8" t="inlineStr"/>
      <c r="N8" t="inlineStr"/>
      <c r="O8">
        <f>IF(ISNUMBER(L8),L8&lt;30,FALSE)</f>
        <v/>
      </c>
      <c r="P8">
        <f>IF(ISNUMBER(N8),N8&lt;20,FALSE)</f>
        <v/>
      </c>
      <c r="Q8">
        <f>FALSE</f>
        <v/>
      </c>
      <c r="R8">
        <f>FALSE</f>
        <v/>
      </c>
      <c r="S8">
        <f>IF(ISNUMBER(G8),B8&lt;G8,FALSE)</f>
        <v/>
      </c>
      <c r="T8">
        <f>OR(O8,P8,Q8,R8,S8)</f>
        <v/>
      </c>
      <c r="V8" t="inlineStr">
        <is>
          <t>Any signal today?</t>
        </is>
      </c>
      <c r="W8">
        <f>INDEX(T2:T401,COUNT(B2:B401))</f>
        <v/>
      </c>
    </row>
    <row r="9">
      <c r="A9">
        <f>IF(Prices!A9="","",Prices!A9)</f>
        <v/>
      </c>
      <c r="B9">
        <f>IF(Prices!E9="","",Prices!E9)</f>
        <v/>
      </c>
      <c r="C9">
        <f>IF(Prices!C9="","",Prices!C9)</f>
        <v/>
      </c>
      <c r="D9">
        <f>IF(Prices!D9="","",Prices!D9)</f>
        <v/>
      </c>
      <c r="E9" t="inlineStr"/>
      <c r="F9" t="inlineStr"/>
      <c r="G9" t="inlineStr"/>
      <c r="H9">
        <f>MAX(B9-B8,0)</f>
        <v/>
      </c>
      <c r="I9">
        <f>MAX(B8-B9,0)</f>
        <v/>
      </c>
      <c r="J9" t="inlineStr"/>
      <c r="K9" t="inlineStr"/>
      <c r="L9" t="inlineStr"/>
      <c r="M9" t="inlineStr"/>
      <c r="N9" t="inlineStr"/>
      <c r="O9">
        <f>IF(ISNUMBER(L9),L9&lt;30,FALSE)</f>
        <v/>
      </c>
      <c r="P9">
        <f>IF(ISNUMBER(N9),N9&lt;20,FALSE)</f>
        <v/>
      </c>
      <c r="Q9">
        <f>FALSE</f>
        <v/>
      </c>
      <c r="R9">
        <f>FALSE</f>
        <v/>
      </c>
      <c r="S9">
        <f>IF(ISNUMBER(G9),B9&lt;G9,FALSE)</f>
        <v/>
      </c>
      <c r="T9">
        <f>OR(O9,P9,Q9,R9,S9)</f>
        <v/>
      </c>
    </row>
    <row r="10">
      <c r="A10">
        <f>IF(Prices!A10="","",Prices!A10)</f>
        <v/>
      </c>
      <c r="B10">
        <f>IF(Prices!E10="","",Prices!E10)</f>
        <v/>
      </c>
      <c r="C10">
        <f>IF(Prices!C10="","",Prices!C10)</f>
        <v/>
      </c>
      <c r="D10">
        <f>IF(Prices!D10="","",Prices!D10)</f>
        <v/>
      </c>
      <c r="E10" t="inlineStr"/>
      <c r="F10" t="inlineStr"/>
      <c r="G10" t="inlineStr"/>
      <c r="H10">
        <f>MAX(B10-B9,0)</f>
        <v/>
      </c>
      <c r="I10">
        <f>MAX(B9-B10,0)</f>
        <v/>
      </c>
      <c r="J10" t="inlineStr"/>
      <c r="K10" t="inlineStr"/>
      <c r="L10" t="inlineStr"/>
      <c r="M10" t="inlineStr"/>
      <c r="N10" t="inlineStr"/>
      <c r="O10">
        <f>IF(ISNUMBER(L10),L10&lt;30,FALSE)</f>
        <v/>
      </c>
      <c r="P10">
        <f>IF(ISNUMBER(N10),N10&lt;20,FALSE)</f>
        <v/>
      </c>
      <c r="Q10">
        <f>FALSE</f>
        <v/>
      </c>
      <c r="R10">
        <f>FALSE</f>
        <v/>
      </c>
      <c r="S10">
        <f>IF(ISNUMBER(G10),B10&lt;G10,FALSE)</f>
        <v/>
      </c>
      <c r="T10">
        <f>OR(O10,P10,Q10,R10,S10)</f>
        <v/>
      </c>
      <c r="V10" t="inlineStr">
        <is>
          <t>A signal is read after the close and acted on the next trading day. Educational only, not advice.</t>
        </is>
      </c>
    </row>
    <row r="11">
      <c r="A11">
        <f>IF(Prices!A11="","",Prices!A11)</f>
        <v/>
      </c>
      <c r="B11">
        <f>IF(Prices!E11="","",Prices!E11)</f>
        <v/>
      </c>
      <c r="C11">
        <f>IF(Prices!C11="","",Prices!C11)</f>
        <v/>
      </c>
      <c r="D11">
        <f>IF(Prices!D11="","",Prices!D11)</f>
        <v/>
      </c>
      <c r="E11" t="inlineStr"/>
      <c r="F11" t="inlineStr"/>
      <c r="G11" t="inlineStr"/>
      <c r="H11">
        <f>MAX(B11-B10,0)</f>
        <v/>
      </c>
      <c r="I11">
        <f>MAX(B10-B11,0)</f>
        <v/>
      </c>
      <c r="J11" t="inlineStr"/>
      <c r="K11" t="inlineStr"/>
      <c r="L11" t="inlineStr"/>
      <c r="M11" t="inlineStr"/>
      <c r="N11" t="inlineStr"/>
      <c r="O11">
        <f>IF(ISNUMBER(L11),L11&lt;30,FALSE)</f>
        <v/>
      </c>
      <c r="P11">
        <f>IF(ISNUMBER(N11),N11&lt;20,FALSE)</f>
        <v/>
      </c>
      <c r="Q11">
        <f>FALSE</f>
        <v/>
      </c>
      <c r="R11">
        <f>FALSE</f>
        <v/>
      </c>
      <c r="S11">
        <f>IF(ISNUMBER(G11),B11&lt;G11,FALSE)</f>
        <v/>
      </c>
      <c r="T11">
        <f>OR(O11,P11,Q11,R11,S11)</f>
        <v/>
      </c>
    </row>
    <row r="12">
      <c r="A12">
        <f>IF(Prices!A12="","",Prices!A12)</f>
        <v/>
      </c>
      <c r="B12">
        <f>IF(Prices!E12="","",Prices!E12)</f>
        <v/>
      </c>
      <c r="C12">
        <f>IF(Prices!C12="","",Prices!C12)</f>
        <v/>
      </c>
      <c r="D12">
        <f>IF(Prices!D12="","",Prices!D12)</f>
        <v/>
      </c>
      <c r="E12" t="inlineStr"/>
      <c r="F12" t="inlineStr"/>
      <c r="G12" t="inlineStr"/>
      <c r="H12">
        <f>MAX(B12-B11,0)</f>
        <v/>
      </c>
      <c r="I12">
        <f>MAX(B11-B12,0)</f>
        <v/>
      </c>
      <c r="J12" t="inlineStr"/>
      <c r="K12" t="inlineStr"/>
      <c r="L12" t="inlineStr"/>
      <c r="M12" t="inlineStr"/>
      <c r="N12" t="inlineStr"/>
      <c r="O12">
        <f>IF(ISNUMBER(L12),L12&lt;30,FALSE)</f>
        <v/>
      </c>
      <c r="P12">
        <f>IF(ISNUMBER(N12),N12&lt;20,FALSE)</f>
        <v/>
      </c>
      <c r="Q12">
        <f>FALSE</f>
        <v/>
      </c>
      <c r="R12">
        <f>FALSE</f>
        <v/>
      </c>
      <c r="S12">
        <f>IF(ISNUMBER(G12),B12&lt;G12,FALSE)</f>
        <v/>
      </c>
      <c r="T12">
        <f>OR(O12,P12,Q12,R12,S12)</f>
        <v/>
      </c>
    </row>
    <row r="13">
      <c r="A13">
        <f>IF(Prices!A13="","",Prices!A13)</f>
        <v/>
      </c>
      <c r="B13">
        <f>IF(Prices!E13="","",Prices!E13)</f>
        <v/>
      </c>
      <c r="C13">
        <f>IF(Prices!C13="","",Prices!C13)</f>
        <v/>
      </c>
      <c r="D13">
        <f>IF(Prices!D13="","",Prices!D13)</f>
        <v/>
      </c>
      <c r="E13" t="inlineStr"/>
      <c r="F13" t="inlineStr"/>
      <c r="G13" t="inlineStr"/>
      <c r="H13">
        <f>MAX(B13-B12,0)</f>
        <v/>
      </c>
      <c r="I13">
        <f>MAX(B12-B13,0)</f>
        <v/>
      </c>
      <c r="J13" t="inlineStr"/>
      <c r="K13" t="inlineStr"/>
      <c r="L13" t="inlineStr"/>
      <c r="M13" t="inlineStr"/>
      <c r="N13" t="inlineStr"/>
      <c r="O13">
        <f>IF(ISNUMBER(L13),L13&lt;30,FALSE)</f>
        <v/>
      </c>
      <c r="P13">
        <f>IF(ISNUMBER(N13),N13&lt;20,FALSE)</f>
        <v/>
      </c>
      <c r="Q13">
        <f>FALSE</f>
        <v/>
      </c>
      <c r="R13">
        <f>FALSE</f>
        <v/>
      </c>
      <c r="S13">
        <f>IF(ISNUMBER(G13),B13&lt;G13,FALSE)</f>
        <v/>
      </c>
      <c r="T13">
        <f>OR(O13,P13,Q13,R13,S13)</f>
        <v/>
      </c>
    </row>
    <row r="14">
      <c r="A14">
        <f>IF(Prices!A14="","",Prices!A14)</f>
        <v/>
      </c>
      <c r="B14">
        <f>IF(Prices!E14="","",Prices!E14)</f>
        <v/>
      </c>
      <c r="C14">
        <f>IF(Prices!C14="","",Prices!C14)</f>
        <v/>
      </c>
      <c r="D14">
        <f>IF(Prices!D14="","",Prices!D14)</f>
        <v/>
      </c>
      <c r="E14" t="inlineStr"/>
      <c r="F14" t="inlineStr"/>
      <c r="G14" t="inlineStr"/>
      <c r="H14">
        <f>MAX(B14-B13,0)</f>
        <v/>
      </c>
      <c r="I14">
        <f>MAX(B13-B14,0)</f>
        <v/>
      </c>
      <c r="J14" t="inlineStr"/>
      <c r="K14" t="inlineStr"/>
      <c r="L14" t="inlineStr"/>
      <c r="M14" t="inlineStr"/>
      <c r="N14" t="inlineStr"/>
      <c r="O14">
        <f>IF(ISNUMBER(L14),L14&lt;30,FALSE)</f>
        <v/>
      </c>
      <c r="P14">
        <f>IF(ISNUMBER(N14),N14&lt;20,FALSE)</f>
        <v/>
      </c>
      <c r="Q14">
        <f>FALSE</f>
        <v/>
      </c>
      <c r="R14">
        <f>FALSE</f>
        <v/>
      </c>
      <c r="S14">
        <f>IF(ISNUMBER(G14),B14&lt;G14,FALSE)</f>
        <v/>
      </c>
      <c r="T14">
        <f>OR(O14,P14,Q14,R14,S14)</f>
        <v/>
      </c>
    </row>
    <row r="15">
      <c r="A15">
        <f>IF(Prices!A15="","",Prices!A15)</f>
        <v/>
      </c>
      <c r="B15">
        <f>IF(Prices!E15="","",Prices!E15)</f>
        <v/>
      </c>
      <c r="C15">
        <f>IF(Prices!C15="","",Prices!C15)</f>
        <v/>
      </c>
      <c r="D15">
        <f>IF(Prices!D15="","",Prices!D15)</f>
        <v/>
      </c>
      <c r="E15" t="inlineStr"/>
      <c r="F15" t="inlineStr"/>
      <c r="G15" t="inlineStr"/>
      <c r="H15">
        <f>MAX(B15-B14,0)</f>
        <v/>
      </c>
      <c r="I15">
        <f>MAX(B14-B15,0)</f>
        <v/>
      </c>
      <c r="J15" t="inlineStr"/>
      <c r="K15" t="inlineStr"/>
      <c r="L15" t="inlineStr"/>
      <c r="M15">
        <f>IF(MAX(C2:C15)=MIN(D2:D15),50,100*(B15-MIN(D2:D15))/(MAX(C2:C15)-MIN(D2:D15)))</f>
        <v/>
      </c>
      <c r="N15" t="inlineStr"/>
      <c r="O15">
        <f>IF(ISNUMBER(L15),L15&lt;30,FALSE)</f>
        <v/>
      </c>
      <c r="P15">
        <f>IF(ISNUMBER(N15),N15&lt;20,FALSE)</f>
        <v/>
      </c>
      <c r="Q15">
        <f>FALSE</f>
        <v/>
      </c>
      <c r="R15">
        <f>FALSE</f>
        <v/>
      </c>
      <c r="S15">
        <f>IF(ISNUMBER(G15),B15&lt;G15,FALSE)</f>
        <v/>
      </c>
      <c r="T15">
        <f>OR(O15,P15,Q15,R15,S15)</f>
        <v/>
      </c>
    </row>
    <row r="16">
      <c r="A16">
        <f>IF(Prices!A16="","",Prices!A16)</f>
        <v/>
      </c>
      <c r="B16">
        <f>IF(Prices!E16="","",Prices!E16)</f>
        <v/>
      </c>
      <c r="C16">
        <f>IF(Prices!C16="","",Prices!C16)</f>
        <v/>
      </c>
      <c r="D16">
        <f>IF(Prices!D16="","",Prices!D16)</f>
        <v/>
      </c>
      <c r="E16" t="inlineStr"/>
      <c r="F16" t="inlineStr"/>
      <c r="G16" t="inlineStr"/>
      <c r="H16">
        <f>MAX(B16-B15,0)</f>
        <v/>
      </c>
      <c r="I16">
        <f>MAX(B15-B16,0)</f>
        <v/>
      </c>
      <c r="J16">
        <f>AVERAGE(H3:H16)</f>
        <v/>
      </c>
      <c r="K16">
        <f>AVERAGE(I3:I16)</f>
        <v/>
      </c>
      <c r="L16">
        <f>IF(K16=0,100,100-100/(1+J16/K16))</f>
        <v/>
      </c>
      <c r="M16">
        <f>IF(MAX(C3:C16)=MIN(D3:D16),50,100*(B16-MIN(D3:D16))/(MAX(C3:C16)-MIN(D3:D16)))</f>
        <v/>
      </c>
      <c r="N16" t="inlineStr"/>
      <c r="O16">
        <f>IF(ISNUMBER(L16),L16&lt;30,FALSE)</f>
        <v/>
      </c>
      <c r="P16">
        <f>IF(ISNUMBER(N16),N16&lt;20,FALSE)</f>
        <v/>
      </c>
      <c r="Q16">
        <f>FALSE</f>
        <v/>
      </c>
      <c r="R16">
        <f>FALSE</f>
        <v/>
      </c>
      <c r="S16">
        <f>IF(ISNUMBER(G16),B16&lt;G16,FALSE)</f>
        <v/>
      </c>
      <c r="T16">
        <f>OR(O16,P16,Q16,R16,S16)</f>
        <v/>
      </c>
    </row>
    <row r="17">
      <c r="A17">
        <f>IF(Prices!A17="","",Prices!A17)</f>
        <v/>
      </c>
      <c r="B17">
        <f>IF(Prices!E17="","",Prices!E17)</f>
        <v/>
      </c>
      <c r="C17">
        <f>IF(Prices!C17="","",Prices!C17)</f>
        <v/>
      </c>
      <c r="D17">
        <f>IF(Prices!D17="","",Prices!D17)</f>
        <v/>
      </c>
      <c r="E17" t="inlineStr"/>
      <c r="F17" t="inlineStr"/>
      <c r="G17" t="inlineStr"/>
      <c r="H17">
        <f>MAX(B17-B16,0)</f>
        <v/>
      </c>
      <c r="I17">
        <f>MAX(B16-B17,0)</f>
        <v/>
      </c>
      <c r="J17">
        <f>(J16*13+H17)/14</f>
        <v/>
      </c>
      <c r="K17">
        <f>(K16*13+I17)/14</f>
        <v/>
      </c>
      <c r="L17">
        <f>IF(K17=0,100,100-100/(1+J17/K17))</f>
        <v/>
      </c>
      <c r="M17">
        <f>IF(MAX(C4:C17)=MIN(D4:D17),50,100*(B17-MIN(D4:D17))/(MAX(C4:C17)-MIN(D4:D17)))</f>
        <v/>
      </c>
      <c r="N17">
        <f>AVERAGE(M15:M17)</f>
        <v/>
      </c>
      <c r="O17">
        <f>IF(ISNUMBER(L17),L17&lt;30,FALSE)</f>
        <v/>
      </c>
      <c r="P17">
        <f>IF(ISNUMBER(N17),N17&lt;20,FALSE)</f>
        <v/>
      </c>
      <c r="Q17">
        <f>FALSE</f>
        <v/>
      </c>
      <c r="R17">
        <f>FALSE</f>
        <v/>
      </c>
      <c r="S17">
        <f>IF(ISNUMBER(G17),B17&lt;G17,FALSE)</f>
        <v/>
      </c>
      <c r="T17">
        <f>OR(O17,P17,Q17,R17,S17)</f>
        <v/>
      </c>
    </row>
    <row r="18">
      <c r="A18">
        <f>IF(Prices!A18="","",Prices!A18)</f>
        <v/>
      </c>
      <c r="B18">
        <f>IF(Prices!E18="","",Prices!E18)</f>
        <v/>
      </c>
      <c r="C18">
        <f>IF(Prices!C18="","",Prices!C18)</f>
        <v/>
      </c>
      <c r="D18">
        <f>IF(Prices!D18="","",Prices!D18)</f>
        <v/>
      </c>
      <c r="E18" t="inlineStr"/>
      <c r="F18" t="inlineStr"/>
      <c r="G18" t="inlineStr"/>
      <c r="H18">
        <f>MAX(B18-B17,0)</f>
        <v/>
      </c>
      <c r="I18">
        <f>MAX(B17-B18,0)</f>
        <v/>
      </c>
      <c r="J18">
        <f>(J17*13+H18)/14</f>
        <v/>
      </c>
      <c r="K18">
        <f>(K17*13+I18)/14</f>
        <v/>
      </c>
      <c r="L18">
        <f>IF(K18=0,100,100-100/(1+J18/K18))</f>
        <v/>
      </c>
      <c r="M18">
        <f>IF(MAX(C5:C18)=MIN(D5:D18),50,100*(B18-MIN(D5:D18))/(MAX(C5:C18)-MIN(D5:D18)))</f>
        <v/>
      </c>
      <c r="N18">
        <f>AVERAGE(M16:M18)</f>
        <v/>
      </c>
      <c r="O18">
        <f>IF(ISNUMBER(L18),L18&lt;30,FALSE)</f>
        <v/>
      </c>
      <c r="P18">
        <f>IF(ISNUMBER(N18),N18&lt;20,FALSE)</f>
        <v/>
      </c>
      <c r="Q18">
        <f>FALSE</f>
        <v/>
      </c>
      <c r="R18">
        <f>FALSE</f>
        <v/>
      </c>
      <c r="S18">
        <f>IF(ISNUMBER(G18),B18&lt;G18,FALSE)</f>
        <v/>
      </c>
      <c r="T18">
        <f>OR(O18,P18,Q18,R18,S18)</f>
        <v/>
      </c>
    </row>
    <row r="19">
      <c r="A19">
        <f>IF(Prices!A19="","",Prices!A19)</f>
        <v/>
      </c>
      <c r="B19">
        <f>IF(Prices!E19="","",Prices!E19)</f>
        <v/>
      </c>
      <c r="C19">
        <f>IF(Prices!C19="","",Prices!C19)</f>
        <v/>
      </c>
      <c r="D19">
        <f>IF(Prices!D19="","",Prices!D19)</f>
        <v/>
      </c>
      <c r="E19" t="inlineStr"/>
      <c r="F19" t="inlineStr"/>
      <c r="G19" t="inlineStr"/>
      <c r="H19">
        <f>MAX(B19-B18,0)</f>
        <v/>
      </c>
      <c r="I19">
        <f>MAX(B18-B19,0)</f>
        <v/>
      </c>
      <c r="J19">
        <f>(J18*13+H19)/14</f>
        <v/>
      </c>
      <c r="K19">
        <f>(K18*13+I19)/14</f>
        <v/>
      </c>
      <c r="L19">
        <f>IF(K19=0,100,100-100/(1+J19/K19))</f>
        <v/>
      </c>
      <c r="M19">
        <f>IF(MAX(C6:C19)=MIN(D6:D19),50,100*(B19-MIN(D6:D19))/(MAX(C6:C19)-MIN(D6:D19)))</f>
        <v/>
      </c>
      <c r="N19">
        <f>AVERAGE(M17:M19)</f>
        <v/>
      </c>
      <c r="O19">
        <f>IF(ISNUMBER(L19),L19&lt;30,FALSE)</f>
        <v/>
      </c>
      <c r="P19">
        <f>IF(ISNUMBER(N19),N19&lt;20,FALSE)</f>
        <v/>
      </c>
      <c r="Q19">
        <f>FALSE</f>
        <v/>
      </c>
      <c r="R19">
        <f>FALSE</f>
        <v/>
      </c>
      <c r="S19">
        <f>IF(ISNUMBER(G19),B19&lt;G19,FALSE)</f>
        <v/>
      </c>
      <c r="T19">
        <f>OR(O19,P19,Q19,R19,S19)</f>
        <v/>
      </c>
    </row>
    <row r="20">
      <c r="A20">
        <f>IF(Prices!A20="","",Prices!A20)</f>
        <v/>
      </c>
      <c r="B20">
        <f>IF(Prices!E20="","",Prices!E20)</f>
        <v/>
      </c>
      <c r="C20">
        <f>IF(Prices!C20="","",Prices!C20)</f>
        <v/>
      </c>
      <c r="D20">
        <f>IF(Prices!D20="","",Prices!D20)</f>
        <v/>
      </c>
      <c r="E20" t="inlineStr"/>
      <c r="F20" t="inlineStr"/>
      <c r="G20" t="inlineStr"/>
      <c r="H20">
        <f>MAX(B20-B19,0)</f>
        <v/>
      </c>
      <c r="I20">
        <f>MAX(B19-B20,0)</f>
        <v/>
      </c>
      <c r="J20">
        <f>(J19*13+H20)/14</f>
        <v/>
      </c>
      <c r="K20">
        <f>(K19*13+I20)/14</f>
        <v/>
      </c>
      <c r="L20">
        <f>IF(K20=0,100,100-100/(1+J20/K20))</f>
        <v/>
      </c>
      <c r="M20">
        <f>IF(MAX(C7:C20)=MIN(D7:D20),50,100*(B20-MIN(D7:D20))/(MAX(C7:C20)-MIN(D7:D20)))</f>
        <v/>
      </c>
      <c r="N20">
        <f>AVERAGE(M18:M20)</f>
        <v/>
      </c>
      <c r="O20">
        <f>IF(ISNUMBER(L20),L20&lt;30,FALSE)</f>
        <v/>
      </c>
      <c r="P20">
        <f>IF(ISNUMBER(N20),N20&lt;20,FALSE)</f>
        <v/>
      </c>
      <c r="Q20">
        <f>FALSE</f>
        <v/>
      </c>
      <c r="R20">
        <f>FALSE</f>
        <v/>
      </c>
      <c r="S20">
        <f>IF(ISNUMBER(G20),B20&lt;G20,FALSE)</f>
        <v/>
      </c>
      <c r="T20">
        <f>OR(O20,P20,Q20,R20,S20)</f>
        <v/>
      </c>
    </row>
    <row r="21">
      <c r="A21">
        <f>IF(Prices!A21="","",Prices!A21)</f>
        <v/>
      </c>
      <c r="B21">
        <f>IF(Prices!E21="","",Prices!E21)</f>
        <v/>
      </c>
      <c r="C21">
        <f>IF(Prices!C21="","",Prices!C21)</f>
        <v/>
      </c>
      <c r="D21">
        <f>IF(Prices!D21="","",Prices!D21)</f>
        <v/>
      </c>
      <c r="E21" t="inlineStr"/>
      <c r="F21" t="inlineStr"/>
      <c r="G21">
        <f>AVERAGE(B2:B21)-2*STDEV.P(B2:B21)</f>
        <v/>
      </c>
      <c r="H21">
        <f>MAX(B21-B20,0)</f>
        <v/>
      </c>
      <c r="I21">
        <f>MAX(B20-B21,0)</f>
        <v/>
      </c>
      <c r="J21">
        <f>(J20*13+H21)/14</f>
        <v/>
      </c>
      <c r="K21">
        <f>(K20*13+I21)/14</f>
        <v/>
      </c>
      <c r="L21">
        <f>IF(K21=0,100,100-100/(1+J21/K21))</f>
        <v/>
      </c>
      <c r="M21">
        <f>IF(MAX(C8:C21)=MIN(D8:D21),50,100*(B21-MIN(D8:D21))/(MAX(C8:C21)-MIN(D8:D21)))</f>
        <v/>
      </c>
      <c r="N21">
        <f>AVERAGE(M19:M21)</f>
        <v/>
      </c>
      <c r="O21">
        <f>IF(ISNUMBER(L21),L21&lt;30,FALSE)</f>
        <v/>
      </c>
      <c r="P21">
        <f>IF(ISNUMBER(N21),N21&lt;20,FALSE)</f>
        <v/>
      </c>
      <c r="Q21">
        <f>FALSE</f>
        <v/>
      </c>
      <c r="R21">
        <f>FALSE</f>
        <v/>
      </c>
      <c r="S21">
        <f>IF(ISNUMBER(G21),B21&lt;G21,FALSE)</f>
        <v/>
      </c>
      <c r="T21">
        <f>OR(O21,P21,Q21,R21,S21)</f>
        <v/>
      </c>
    </row>
    <row r="22">
      <c r="A22">
        <f>IF(Prices!A22="","",Prices!A22)</f>
        <v/>
      </c>
      <c r="B22">
        <f>IF(Prices!E22="","",Prices!E22)</f>
        <v/>
      </c>
      <c r="C22">
        <f>IF(Prices!C22="","",Prices!C22)</f>
        <v/>
      </c>
      <c r="D22">
        <f>IF(Prices!D22="","",Prices!D22)</f>
        <v/>
      </c>
      <c r="E22" t="inlineStr"/>
      <c r="F22" t="inlineStr"/>
      <c r="G22">
        <f>AVERAGE(B3:B22)-2*STDEV.P(B3:B22)</f>
        <v/>
      </c>
      <c r="H22">
        <f>MAX(B22-B21,0)</f>
        <v/>
      </c>
      <c r="I22">
        <f>MAX(B21-B22,0)</f>
        <v/>
      </c>
      <c r="J22">
        <f>(J21*13+H22)/14</f>
        <v/>
      </c>
      <c r="K22">
        <f>(K21*13+I22)/14</f>
        <v/>
      </c>
      <c r="L22">
        <f>IF(K22=0,100,100-100/(1+J22/K22))</f>
        <v/>
      </c>
      <c r="M22">
        <f>IF(MAX(C9:C22)=MIN(D9:D22),50,100*(B22-MIN(D9:D22))/(MAX(C9:C22)-MIN(D9:D22)))</f>
        <v/>
      </c>
      <c r="N22">
        <f>AVERAGE(M20:M22)</f>
        <v/>
      </c>
      <c r="O22">
        <f>IF(ISNUMBER(L22),L22&lt;30,FALSE)</f>
        <v/>
      </c>
      <c r="P22">
        <f>IF(ISNUMBER(N22),N22&lt;20,FALSE)</f>
        <v/>
      </c>
      <c r="Q22">
        <f>FALSE</f>
        <v/>
      </c>
      <c r="R22">
        <f>FALSE</f>
        <v/>
      </c>
      <c r="S22">
        <f>IF(ISNUMBER(G22),B22&lt;G22,FALSE)</f>
        <v/>
      </c>
      <c r="T22">
        <f>OR(O22,P22,Q22,R22,S22)</f>
        <v/>
      </c>
    </row>
    <row r="23">
      <c r="A23">
        <f>IF(Prices!A23="","",Prices!A23)</f>
        <v/>
      </c>
      <c r="B23">
        <f>IF(Prices!E23="","",Prices!E23)</f>
        <v/>
      </c>
      <c r="C23">
        <f>IF(Prices!C23="","",Prices!C23)</f>
        <v/>
      </c>
      <c r="D23">
        <f>IF(Prices!D23="","",Prices!D23)</f>
        <v/>
      </c>
      <c r="E23" t="inlineStr"/>
      <c r="F23" t="inlineStr"/>
      <c r="G23">
        <f>AVERAGE(B4:B23)-2*STDEV.P(B4:B23)</f>
        <v/>
      </c>
      <c r="H23">
        <f>MAX(B23-B22,0)</f>
        <v/>
      </c>
      <c r="I23">
        <f>MAX(B22-B23,0)</f>
        <v/>
      </c>
      <c r="J23">
        <f>(J22*13+H23)/14</f>
        <v/>
      </c>
      <c r="K23">
        <f>(K22*13+I23)/14</f>
        <v/>
      </c>
      <c r="L23">
        <f>IF(K23=0,100,100-100/(1+J23/K23))</f>
        <v/>
      </c>
      <c r="M23">
        <f>IF(MAX(C10:C23)=MIN(D10:D23),50,100*(B23-MIN(D10:D23))/(MAX(C10:C23)-MIN(D10:D23)))</f>
        <v/>
      </c>
      <c r="N23">
        <f>AVERAGE(M21:M23)</f>
        <v/>
      </c>
      <c r="O23">
        <f>IF(ISNUMBER(L23),L23&lt;30,FALSE)</f>
        <v/>
      </c>
      <c r="P23">
        <f>IF(ISNUMBER(N23),N23&lt;20,FALSE)</f>
        <v/>
      </c>
      <c r="Q23">
        <f>FALSE</f>
        <v/>
      </c>
      <c r="R23">
        <f>FALSE</f>
        <v/>
      </c>
      <c r="S23">
        <f>IF(ISNUMBER(G23),B23&lt;G23,FALSE)</f>
        <v/>
      </c>
      <c r="T23">
        <f>OR(O23,P23,Q23,R23,S23)</f>
        <v/>
      </c>
    </row>
    <row r="24">
      <c r="A24">
        <f>IF(Prices!A24="","",Prices!A24)</f>
        <v/>
      </c>
      <c r="B24">
        <f>IF(Prices!E24="","",Prices!E24)</f>
        <v/>
      </c>
      <c r="C24">
        <f>IF(Prices!C24="","",Prices!C24)</f>
        <v/>
      </c>
      <c r="D24">
        <f>IF(Prices!D24="","",Prices!D24)</f>
        <v/>
      </c>
      <c r="E24" t="inlineStr"/>
      <c r="F24" t="inlineStr"/>
      <c r="G24">
        <f>AVERAGE(B5:B24)-2*STDEV.P(B5:B24)</f>
        <v/>
      </c>
      <c r="H24">
        <f>MAX(B24-B23,0)</f>
        <v/>
      </c>
      <c r="I24">
        <f>MAX(B23-B24,0)</f>
        <v/>
      </c>
      <c r="J24">
        <f>(J23*13+H24)/14</f>
        <v/>
      </c>
      <c r="K24">
        <f>(K23*13+I24)/14</f>
        <v/>
      </c>
      <c r="L24">
        <f>IF(K24=0,100,100-100/(1+J24/K24))</f>
        <v/>
      </c>
      <c r="M24">
        <f>IF(MAX(C11:C24)=MIN(D11:D24),50,100*(B24-MIN(D11:D24))/(MAX(C11:C24)-MIN(D11:D24)))</f>
        <v/>
      </c>
      <c r="N24">
        <f>AVERAGE(M22:M24)</f>
        <v/>
      </c>
      <c r="O24">
        <f>IF(ISNUMBER(L24),L24&lt;30,FALSE)</f>
        <v/>
      </c>
      <c r="P24">
        <f>IF(ISNUMBER(N24),N24&lt;20,FALSE)</f>
        <v/>
      </c>
      <c r="Q24">
        <f>FALSE</f>
        <v/>
      </c>
      <c r="R24">
        <f>FALSE</f>
        <v/>
      </c>
      <c r="S24">
        <f>IF(ISNUMBER(G24),B24&lt;G24,FALSE)</f>
        <v/>
      </c>
      <c r="T24">
        <f>OR(O24,P24,Q24,R24,S24)</f>
        <v/>
      </c>
    </row>
    <row r="25">
      <c r="A25">
        <f>IF(Prices!A25="","",Prices!A25)</f>
        <v/>
      </c>
      <c r="B25">
        <f>IF(Prices!E25="","",Prices!E25)</f>
        <v/>
      </c>
      <c r="C25">
        <f>IF(Prices!C25="","",Prices!C25)</f>
        <v/>
      </c>
      <c r="D25">
        <f>IF(Prices!D25="","",Prices!D25)</f>
        <v/>
      </c>
      <c r="E25" t="inlineStr"/>
      <c r="F25" t="inlineStr"/>
      <c r="G25">
        <f>AVERAGE(B6:B25)-2*STDEV.P(B6:B25)</f>
        <v/>
      </c>
      <c r="H25">
        <f>MAX(B25-B24,0)</f>
        <v/>
      </c>
      <c r="I25">
        <f>MAX(B24-B25,0)</f>
        <v/>
      </c>
      <c r="J25">
        <f>(J24*13+H25)/14</f>
        <v/>
      </c>
      <c r="K25">
        <f>(K24*13+I25)/14</f>
        <v/>
      </c>
      <c r="L25">
        <f>IF(K25=0,100,100-100/(1+J25/K25))</f>
        <v/>
      </c>
      <c r="M25">
        <f>IF(MAX(C12:C25)=MIN(D12:D25),50,100*(B25-MIN(D12:D25))/(MAX(C12:C25)-MIN(D12:D25)))</f>
        <v/>
      </c>
      <c r="N25">
        <f>AVERAGE(M23:M25)</f>
        <v/>
      </c>
      <c r="O25">
        <f>IF(ISNUMBER(L25),L25&lt;30,FALSE)</f>
        <v/>
      </c>
      <c r="P25">
        <f>IF(ISNUMBER(N25),N25&lt;20,FALSE)</f>
        <v/>
      </c>
      <c r="Q25">
        <f>FALSE</f>
        <v/>
      </c>
      <c r="R25">
        <f>FALSE</f>
        <v/>
      </c>
      <c r="S25">
        <f>IF(ISNUMBER(G25),B25&lt;G25,FALSE)</f>
        <v/>
      </c>
      <c r="T25">
        <f>OR(O25,P25,Q25,R25,S25)</f>
        <v/>
      </c>
    </row>
    <row r="26">
      <c r="A26">
        <f>IF(Prices!A26="","",Prices!A26)</f>
        <v/>
      </c>
      <c r="B26">
        <f>IF(Prices!E26="","",Prices!E26)</f>
        <v/>
      </c>
      <c r="C26">
        <f>IF(Prices!C26="","",Prices!C26)</f>
        <v/>
      </c>
      <c r="D26">
        <f>IF(Prices!D26="","",Prices!D26)</f>
        <v/>
      </c>
      <c r="E26" t="inlineStr"/>
      <c r="F26" t="inlineStr"/>
      <c r="G26">
        <f>AVERAGE(B7:B26)-2*STDEV.P(B7:B26)</f>
        <v/>
      </c>
      <c r="H26">
        <f>MAX(B26-B25,0)</f>
        <v/>
      </c>
      <c r="I26">
        <f>MAX(B25-B26,0)</f>
        <v/>
      </c>
      <c r="J26">
        <f>(J25*13+H26)/14</f>
        <v/>
      </c>
      <c r="K26">
        <f>(K25*13+I26)/14</f>
        <v/>
      </c>
      <c r="L26">
        <f>IF(K26=0,100,100-100/(1+J26/K26))</f>
        <v/>
      </c>
      <c r="M26">
        <f>IF(MAX(C13:C26)=MIN(D13:D26),50,100*(B26-MIN(D13:D26))/(MAX(C13:C26)-MIN(D13:D26)))</f>
        <v/>
      </c>
      <c r="N26">
        <f>AVERAGE(M24:M26)</f>
        <v/>
      </c>
      <c r="O26">
        <f>IF(ISNUMBER(L26),L26&lt;30,FALSE)</f>
        <v/>
      </c>
      <c r="P26">
        <f>IF(ISNUMBER(N26),N26&lt;20,FALSE)</f>
        <v/>
      </c>
      <c r="Q26">
        <f>FALSE</f>
        <v/>
      </c>
      <c r="R26">
        <f>FALSE</f>
        <v/>
      </c>
      <c r="S26">
        <f>IF(ISNUMBER(G26),B26&lt;G26,FALSE)</f>
        <v/>
      </c>
      <c r="T26">
        <f>OR(O26,P26,Q26,R26,S26)</f>
        <v/>
      </c>
    </row>
    <row r="27">
      <c r="A27">
        <f>IF(Prices!A27="","",Prices!A27)</f>
        <v/>
      </c>
      <c r="B27">
        <f>IF(Prices!E27="","",Prices!E27)</f>
        <v/>
      </c>
      <c r="C27">
        <f>IF(Prices!C27="","",Prices!C27)</f>
        <v/>
      </c>
      <c r="D27">
        <f>IF(Prices!D27="","",Prices!D27)</f>
        <v/>
      </c>
      <c r="E27" t="inlineStr"/>
      <c r="F27" t="inlineStr"/>
      <c r="G27">
        <f>AVERAGE(B8:B27)-2*STDEV.P(B8:B27)</f>
        <v/>
      </c>
      <c r="H27">
        <f>MAX(B27-B26,0)</f>
        <v/>
      </c>
      <c r="I27">
        <f>MAX(B26-B27,0)</f>
        <v/>
      </c>
      <c r="J27">
        <f>(J26*13+H27)/14</f>
        <v/>
      </c>
      <c r="K27">
        <f>(K26*13+I27)/14</f>
        <v/>
      </c>
      <c r="L27">
        <f>IF(K27=0,100,100-100/(1+J27/K27))</f>
        <v/>
      </c>
      <c r="M27">
        <f>IF(MAX(C14:C27)=MIN(D14:D27),50,100*(B27-MIN(D14:D27))/(MAX(C14:C27)-MIN(D14:D27)))</f>
        <v/>
      </c>
      <c r="N27">
        <f>AVERAGE(M25:M27)</f>
        <v/>
      </c>
      <c r="O27">
        <f>IF(ISNUMBER(L27),L27&lt;30,FALSE)</f>
        <v/>
      </c>
      <c r="P27">
        <f>IF(ISNUMBER(N27),N27&lt;20,FALSE)</f>
        <v/>
      </c>
      <c r="Q27">
        <f>FALSE</f>
        <v/>
      </c>
      <c r="R27">
        <f>FALSE</f>
        <v/>
      </c>
      <c r="S27">
        <f>IF(ISNUMBER(G27),B27&lt;G27,FALSE)</f>
        <v/>
      </c>
      <c r="T27">
        <f>OR(O27,P27,Q27,R27,S27)</f>
        <v/>
      </c>
    </row>
    <row r="28">
      <c r="A28">
        <f>IF(Prices!A28="","",Prices!A28)</f>
        <v/>
      </c>
      <c r="B28">
        <f>IF(Prices!E28="","",Prices!E28)</f>
        <v/>
      </c>
      <c r="C28">
        <f>IF(Prices!C28="","",Prices!C28)</f>
        <v/>
      </c>
      <c r="D28">
        <f>IF(Prices!D28="","",Prices!D28)</f>
        <v/>
      </c>
      <c r="E28" t="inlineStr"/>
      <c r="F28" t="inlineStr"/>
      <c r="G28">
        <f>AVERAGE(B9:B28)-2*STDEV.P(B9:B28)</f>
        <v/>
      </c>
      <c r="H28">
        <f>MAX(B28-B27,0)</f>
        <v/>
      </c>
      <c r="I28">
        <f>MAX(B27-B28,0)</f>
        <v/>
      </c>
      <c r="J28">
        <f>(J27*13+H28)/14</f>
        <v/>
      </c>
      <c r="K28">
        <f>(K27*13+I28)/14</f>
        <v/>
      </c>
      <c r="L28">
        <f>IF(K28=0,100,100-100/(1+J28/K28))</f>
        <v/>
      </c>
      <c r="M28">
        <f>IF(MAX(C15:C28)=MIN(D15:D28),50,100*(B28-MIN(D15:D28))/(MAX(C15:C28)-MIN(D15:D28)))</f>
        <v/>
      </c>
      <c r="N28">
        <f>AVERAGE(M26:M28)</f>
        <v/>
      </c>
      <c r="O28">
        <f>IF(ISNUMBER(L28),L28&lt;30,FALSE)</f>
        <v/>
      </c>
      <c r="P28">
        <f>IF(ISNUMBER(N28),N28&lt;20,FALSE)</f>
        <v/>
      </c>
      <c r="Q28">
        <f>FALSE</f>
        <v/>
      </c>
      <c r="R28">
        <f>FALSE</f>
        <v/>
      </c>
      <c r="S28">
        <f>IF(ISNUMBER(G28),B28&lt;G28,FALSE)</f>
        <v/>
      </c>
      <c r="T28">
        <f>OR(O28,P28,Q28,R28,S28)</f>
        <v/>
      </c>
    </row>
    <row r="29">
      <c r="A29">
        <f>IF(Prices!A29="","",Prices!A29)</f>
        <v/>
      </c>
      <c r="B29">
        <f>IF(Prices!E29="","",Prices!E29)</f>
        <v/>
      </c>
      <c r="C29">
        <f>IF(Prices!C29="","",Prices!C29)</f>
        <v/>
      </c>
      <c r="D29">
        <f>IF(Prices!D29="","",Prices!D29)</f>
        <v/>
      </c>
      <c r="E29" t="inlineStr"/>
      <c r="F29" t="inlineStr"/>
      <c r="G29">
        <f>AVERAGE(B10:B29)-2*STDEV.P(B10:B29)</f>
        <v/>
      </c>
      <c r="H29">
        <f>MAX(B29-B28,0)</f>
        <v/>
      </c>
      <c r="I29">
        <f>MAX(B28-B29,0)</f>
        <v/>
      </c>
      <c r="J29">
        <f>(J28*13+H29)/14</f>
        <v/>
      </c>
      <c r="K29">
        <f>(K28*13+I29)/14</f>
        <v/>
      </c>
      <c r="L29">
        <f>IF(K29=0,100,100-100/(1+J29/K29))</f>
        <v/>
      </c>
      <c r="M29">
        <f>IF(MAX(C16:C29)=MIN(D16:D29),50,100*(B29-MIN(D16:D29))/(MAX(C16:C29)-MIN(D16:D29)))</f>
        <v/>
      </c>
      <c r="N29">
        <f>AVERAGE(M27:M29)</f>
        <v/>
      </c>
      <c r="O29">
        <f>IF(ISNUMBER(L29),L29&lt;30,FALSE)</f>
        <v/>
      </c>
      <c r="P29">
        <f>IF(ISNUMBER(N29),N29&lt;20,FALSE)</f>
        <v/>
      </c>
      <c r="Q29">
        <f>FALSE</f>
        <v/>
      </c>
      <c r="R29">
        <f>FALSE</f>
        <v/>
      </c>
      <c r="S29">
        <f>IF(ISNUMBER(G29),B29&lt;G29,FALSE)</f>
        <v/>
      </c>
      <c r="T29">
        <f>OR(O29,P29,Q29,R29,S29)</f>
        <v/>
      </c>
    </row>
    <row r="30">
      <c r="A30">
        <f>IF(Prices!A30="","",Prices!A30)</f>
        <v/>
      </c>
      <c r="B30">
        <f>IF(Prices!E30="","",Prices!E30)</f>
        <v/>
      </c>
      <c r="C30">
        <f>IF(Prices!C30="","",Prices!C30)</f>
        <v/>
      </c>
      <c r="D30">
        <f>IF(Prices!D30="","",Prices!D30)</f>
        <v/>
      </c>
      <c r="E30" t="inlineStr"/>
      <c r="F30" t="inlineStr"/>
      <c r="G30">
        <f>AVERAGE(B11:B30)-2*STDEV.P(B11:B30)</f>
        <v/>
      </c>
      <c r="H30">
        <f>MAX(B30-B29,0)</f>
        <v/>
      </c>
      <c r="I30">
        <f>MAX(B29-B30,0)</f>
        <v/>
      </c>
      <c r="J30">
        <f>(J29*13+H30)/14</f>
        <v/>
      </c>
      <c r="K30">
        <f>(K29*13+I30)/14</f>
        <v/>
      </c>
      <c r="L30">
        <f>IF(K30=0,100,100-100/(1+J30/K30))</f>
        <v/>
      </c>
      <c r="M30">
        <f>IF(MAX(C17:C30)=MIN(D17:D30),50,100*(B30-MIN(D17:D30))/(MAX(C17:C30)-MIN(D17:D30)))</f>
        <v/>
      </c>
      <c r="N30">
        <f>AVERAGE(M28:M30)</f>
        <v/>
      </c>
      <c r="O30">
        <f>IF(ISNUMBER(L30),L30&lt;30,FALSE)</f>
        <v/>
      </c>
      <c r="P30">
        <f>IF(ISNUMBER(N30),N30&lt;20,FALSE)</f>
        <v/>
      </c>
      <c r="Q30">
        <f>FALSE</f>
        <v/>
      </c>
      <c r="R30">
        <f>FALSE</f>
        <v/>
      </c>
      <c r="S30">
        <f>IF(ISNUMBER(G30),B30&lt;G30,FALSE)</f>
        <v/>
      </c>
      <c r="T30">
        <f>OR(O30,P30,Q30,R30,S30)</f>
        <v/>
      </c>
    </row>
    <row r="31">
      <c r="A31">
        <f>IF(Prices!A31="","",Prices!A31)</f>
        <v/>
      </c>
      <c r="B31">
        <f>IF(Prices!E31="","",Prices!E31)</f>
        <v/>
      </c>
      <c r="C31">
        <f>IF(Prices!C31="","",Prices!C31)</f>
        <v/>
      </c>
      <c r="D31">
        <f>IF(Prices!D31="","",Prices!D31)</f>
        <v/>
      </c>
      <c r="E31" t="inlineStr"/>
      <c r="F31" t="inlineStr"/>
      <c r="G31">
        <f>AVERAGE(B12:B31)-2*STDEV.P(B12:B31)</f>
        <v/>
      </c>
      <c r="H31">
        <f>MAX(B31-B30,0)</f>
        <v/>
      </c>
      <c r="I31">
        <f>MAX(B30-B31,0)</f>
        <v/>
      </c>
      <c r="J31">
        <f>(J30*13+H31)/14</f>
        <v/>
      </c>
      <c r="K31">
        <f>(K30*13+I31)/14</f>
        <v/>
      </c>
      <c r="L31">
        <f>IF(K31=0,100,100-100/(1+J31/K31))</f>
        <v/>
      </c>
      <c r="M31">
        <f>IF(MAX(C18:C31)=MIN(D18:D31),50,100*(B31-MIN(D18:D31))/(MAX(C18:C31)-MIN(D18:D31)))</f>
        <v/>
      </c>
      <c r="N31">
        <f>AVERAGE(M29:M31)</f>
        <v/>
      </c>
      <c r="O31">
        <f>IF(ISNUMBER(L31),L31&lt;30,FALSE)</f>
        <v/>
      </c>
      <c r="P31">
        <f>IF(ISNUMBER(N31),N31&lt;20,FALSE)</f>
        <v/>
      </c>
      <c r="Q31">
        <f>FALSE</f>
        <v/>
      </c>
      <c r="R31">
        <f>FALSE</f>
        <v/>
      </c>
      <c r="S31">
        <f>IF(ISNUMBER(G31),B31&lt;G31,FALSE)</f>
        <v/>
      </c>
      <c r="T31">
        <f>OR(O31,P31,Q31,R31,S31)</f>
        <v/>
      </c>
    </row>
    <row r="32">
      <c r="A32">
        <f>IF(Prices!A32="","",Prices!A32)</f>
        <v/>
      </c>
      <c r="B32">
        <f>IF(Prices!E32="","",Prices!E32)</f>
        <v/>
      </c>
      <c r="C32">
        <f>IF(Prices!C32="","",Prices!C32)</f>
        <v/>
      </c>
      <c r="D32">
        <f>IF(Prices!D32="","",Prices!D32)</f>
        <v/>
      </c>
      <c r="E32" t="inlineStr"/>
      <c r="F32" t="inlineStr"/>
      <c r="G32">
        <f>AVERAGE(B13:B32)-2*STDEV.P(B13:B32)</f>
        <v/>
      </c>
      <c r="H32">
        <f>MAX(B32-B31,0)</f>
        <v/>
      </c>
      <c r="I32">
        <f>MAX(B31-B32,0)</f>
        <v/>
      </c>
      <c r="J32">
        <f>(J31*13+H32)/14</f>
        <v/>
      </c>
      <c r="K32">
        <f>(K31*13+I32)/14</f>
        <v/>
      </c>
      <c r="L32">
        <f>IF(K32=0,100,100-100/(1+J32/K32))</f>
        <v/>
      </c>
      <c r="M32">
        <f>IF(MAX(C19:C32)=MIN(D19:D32),50,100*(B32-MIN(D19:D32))/(MAX(C19:C32)-MIN(D19:D32)))</f>
        <v/>
      </c>
      <c r="N32">
        <f>AVERAGE(M30:M32)</f>
        <v/>
      </c>
      <c r="O32">
        <f>IF(ISNUMBER(L32),L32&lt;30,FALSE)</f>
        <v/>
      </c>
      <c r="P32">
        <f>IF(ISNUMBER(N32),N32&lt;20,FALSE)</f>
        <v/>
      </c>
      <c r="Q32">
        <f>FALSE</f>
        <v/>
      </c>
      <c r="R32">
        <f>FALSE</f>
        <v/>
      </c>
      <c r="S32">
        <f>IF(ISNUMBER(G32),B32&lt;G32,FALSE)</f>
        <v/>
      </c>
      <c r="T32">
        <f>OR(O32,P32,Q32,R32,S32)</f>
        <v/>
      </c>
    </row>
    <row r="33">
      <c r="A33">
        <f>IF(Prices!A33="","",Prices!A33)</f>
        <v/>
      </c>
      <c r="B33">
        <f>IF(Prices!E33="","",Prices!E33)</f>
        <v/>
      </c>
      <c r="C33">
        <f>IF(Prices!C33="","",Prices!C33)</f>
        <v/>
      </c>
      <c r="D33">
        <f>IF(Prices!D33="","",Prices!D33)</f>
        <v/>
      </c>
      <c r="E33" t="inlineStr"/>
      <c r="F33" t="inlineStr"/>
      <c r="G33">
        <f>AVERAGE(B14:B33)-2*STDEV.P(B14:B33)</f>
        <v/>
      </c>
      <c r="H33">
        <f>MAX(B33-B32,0)</f>
        <v/>
      </c>
      <c r="I33">
        <f>MAX(B32-B33,0)</f>
        <v/>
      </c>
      <c r="J33">
        <f>(J32*13+H33)/14</f>
        <v/>
      </c>
      <c r="K33">
        <f>(K32*13+I33)/14</f>
        <v/>
      </c>
      <c r="L33">
        <f>IF(K33=0,100,100-100/(1+J33/K33))</f>
        <v/>
      </c>
      <c r="M33">
        <f>IF(MAX(C20:C33)=MIN(D20:D33),50,100*(B33-MIN(D20:D33))/(MAX(C20:C33)-MIN(D20:D33)))</f>
        <v/>
      </c>
      <c r="N33">
        <f>AVERAGE(M31:M33)</f>
        <v/>
      </c>
      <c r="O33">
        <f>IF(ISNUMBER(L33),L33&lt;30,FALSE)</f>
        <v/>
      </c>
      <c r="P33">
        <f>IF(ISNUMBER(N33),N33&lt;20,FALSE)</f>
        <v/>
      </c>
      <c r="Q33">
        <f>FALSE</f>
        <v/>
      </c>
      <c r="R33">
        <f>FALSE</f>
        <v/>
      </c>
      <c r="S33">
        <f>IF(ISNUMBER(G33),B33&lt;G33,FALSE)</f>
        <v/>
      </c>
      <c r="T33">
        <f>OR(O33,P33,Q33,R33,S33)</f>
        <v/>
      </c>
    </row>
    <row r="34">
      <c r="A34">
        <f>IF(Prices!A34="","",Prices!A34)</f>
        <v/>
      </c>
      <c r="B34">
        <f>IF(Prices!E34="","",Prices!E34)</f>
        <v/>
      </c>
      <c r="C34">
        <f>IF(Prices!C34="","",Prices!C34)</f>
        <v/>
      </c>
      <c r="D34">
        <f>IF(Prices!D34="","",Prices!D34)</f>
        <v/>
      </c>
      <c r="E34" t="inlineStr"/>
      <c r="F34" t="inlineStr"/>
      <c r="G34">
        <f>AVERAGE(B15:B34)-2*STDEV.P(B15:B34)</f>
        <v/>
      </c>
      <c r="H34">
        <f>MAX(B34-B33,0)</f>
        <v/>
      </c>
      <c r="I34">
        <f>MAX(B33-B34,0)</f>
        <v/>
      </c>
      <c r="J34">
        <f>(J33*13+H34)/14</f>
        <v/>
      </c>
      <c r="K34">
        <f>(K33*13+I34)/14</f>
        <v/>
      </c>
      <c r="L34">
        <f>IF(K34=0,100,100-100/(1+J34/K34))</f>
        <v/>
      </c>
      <c r="M34">
        <f>IF(MAX(C21:C34)=MIN(D21:D34),50,100*(B34-MIN(D21:D34))/(MAX(C21:C34)-MIN(D21:D34)))</f>
        <v/>
      </c>
      <c r="N34">
        <f>AVERAGE(M32:M34)</f>
        <v/>
      </c>
      <c r="O34">
        <f>IF(ISNUMBER(L34),L34&lt;30,FALSE)</f>
        <v/>
      </c>
      <c r="P34">
        <f>IF(ISNUMBER(N34),N34&lt;20,FALSE)</f>
        <v/>
      </c>
      <c r="Q34">
        <f>FALSE</f>
        <v/>
      </c>
      <c r="R34">
        <f>FALSE</f>
        <v/>
      </c>
      <c r="S34">
        <f>IF(ISNUMBER(G34),B34&lt;G34,FALSE)</f>
        <v/>
      </c>
      <c r="T34">
        <f>OR(O34,P34,Q34,R34,S34)</f>
        <v/>
      </c>
    </row>
    <row r="35">
      <c r="A35">
        <f>IF(Prices!A35="","",Prices!A35)</f>
        <v/>
      </c>
      <c r="B35">
        <f>IF(Prices!E35="","",Prices!E35)</f>
        <v/>
      </c>
      <c r="C35">
        <f>IF(Prices!C35="","",Prices!C35)</f>
        <v/>
      </c>
      <c r="D35">
        <f>IF(Prices!D35="","",Prices!D35)</f>
        <v/>
      </c>
      <c r="E35" t="inlineStr"/>
      <c r="F35" t="inlineStr"/>
      <c r="G35">
        <f>AVERAGE(B16:B35)-2*STDEV.P(B16:B35)</f>
        <v/>
      </c>
      <c r="H35">
        <f>MAX(B35-B34,0)</f>
        <v/>
      </c>
      <c r="I35">
        <f>MAX(B34-B35,0)</f>
        <v/>
      </c>
      <c r="J35">
        <f>(J34*13+H35)/14</f>
        <v/>
      </c>
      <c r="K35">
        <f>(K34*13+I35)/14</f>
        <v/>
      </c>
      <c r="L35">
        <f>IF(K35=0,100,100-100/(1+J35/K35))</f>
        <v/>
      </c>
      <c r="M35">
        <f>IF(MAX(C22:C35)=MIN(D22:D35),50,100*(B35-MIN(D22:D35))/(MAX(C22:C35)-MIN(D22:D35)))</f>
        <v/>
      </c>
      <c r="N35">
        <f>AVERAGE(M33:M35)</f>
        <v/>
      </c>
      <c r="O35">
        <f>IF(ISNUMBER(L35),L35&lt;30,FALSE)</f>
        <v/>
      </c>
      <c r="P35">
        <f>IF(ISNUMBER(N35),N35&lt;20,FALSE)</f>
        <v/>
      </c>
      <c r="Q35">
        <f>FALSE</f>
        <v/>
      </c>
      <c r="R35">
        <f>FALSE</f>
        <v/>
      </c>
      <c r="S35">
        <f>IF(ISNUMBER(G35),B35&lt;G35,FALSE)</f>
        <v/>
      </c>
      <c r="T35">
        <f>OR(O35,P35,Q35,R35,S35)</f>
        <v/>
      </c>
    </row>
    <row r="36">
      <c r="A36">
        <f>IF(Prices!A36="","",Prices!A36)</f>
        <v/>
      </c>
      <c r="B36">
        <f>IF(Prices!E36="","",Prices!E36)</f>
        <v/>
      </c>
      <c r="C36">
        <f>IF(Prices!C36="","",Prices!C36)</f>
        <v/>
      </c>
      <c r="D36">
        <f>IF(Prices!D36="","",Prices!D36)</f>
        <v/>
      </c>
      <c r="E36" t="inlineStr"/>
      <c r="F36" t="inlineStr"/>
      <c r="G36">
        <f>AVERAGE(B17:B36)-2*STDEV.P(B17:B36)</f>
        <v/>
      </c>
      <c r="H36">
        <f>MAX(B36-B35,0)</f>
        <v/>
      </c>
      <c r="I36">
        <f>MAX(B35-B36,0)</f>
        <v/>
      </c>
      <c r="J36">
        <f>(J35*13+H36)/14</f>
        <v/>
      </c>
      <c r="K36">
        <f>(K35*13+I36)/14</f>
        <v/>
      </c>
      <c r="L36">
        <f>IF(K36=0,100,100-100/(1+J36/K36))</f>
        <v/>
      </c>
      <c r="M36">
        <f>IF(MAX(C23:C36)=MIN(D23:D36),50,100*(B36-MIN(D23:D36))/(MAX(C23:C36)-MIN(D23:D36)))</f>
        <v/>
      </c>
      <c r="N36">
        <f>AVERAGE(M34:M36)</f>
        <v/>
      </c>
      <c r="O36">
        <f>IF(ISNUMBER(L36),L36&lt;30,FALSE)</f>
        <v/>
      </c>
      <c r="P36">
        <f>IF(ISNUMBER(N36),N36&lt;20,FALSE)</f>
        <v/>
      </c>
      <c r="Q36">
        <f>FALSE</f>
        <v/>
      </c>
      <c r="R36">
        <f>FALSE</f>
        <v/>
      </c>
      <c r="S36">
        <f>IF(ISNUMBER(G36),B36&lt;G36,FALSE)</f>
        <v/>
      </c>
      <c r="T36">
        <f>OR(O36,P36,Q36,R36,S36)</f>
        <v/>
      </c>
    </row>
    <row r="37">
      <c r="A37">
        <f>IF(Prices!A37="","",Prices!A37)</f>
        <v/>
      </c>
      <c r="B37">
        <f>IF(Prices!E37="","",Prices!E37)</f>
        <v/>
      </c>
      <c r="C37">
        <f>IF(Prices!C37="","",Prices!C37)</f>
        <v/>
      </c>
      <c r="D37">
        <f>IF(Prices!D37="","",Prices!D37)</f>
        <v/>
      </c>
      <c r="E37" t="inlineStr"/>
      <c r="F37" t="inlineStr"/>
      <c r="G37">
        <f>AVERAGE(B18:B37)-2*STDEV.P(B18:B37)</f>
        <v/>
      </c>
      <c r="H37">
        <f>MAX(B37-B36,0)</f>
        <v/>
      </c>
      <c r="I37">
        <f>MAX(B36-B37,0)</f>
        <v/>
      </c>
      <c r="J37">
        <f>(J36*13+H37)/14</f>
        <v/>
      </c>
      <c r="K37">
        <f>(K36*13+I37)/14</f>
        <v/>
      </c>
      <c r="L37">
        <f>IF(K37=0,100,100-100/(1+J37/K37))</f>
        <v/>
      </c>
      <c r="M37">
        <f>IF(MAX(C24:C37)=MIN(D24:D37),50,100*(B37-MIN(D24:D37))/(MAX(C24:C37)-MIN(D24:D37)))</f>
        <v/>
      </c>
      <c r="N37">
        <f>AVERAGE(M35:M37)</f>
        <v/>
      </c>
      <c r="O37">
        <f>IF(ISNUMBER(L37),L37&lt;30,FALSE)</f>
        <v/>
      </c>
      <c r="P37">
        <f>IF(ISNUMBER(N37),N37&lt;20,FALSE)</f>
        <v/>
      </c>
      <c r="Q37">
        <f>FALSE</f>
        <v/>
      </c>
      <c r="R37">
        <f>FALSE</f>
        <v/>
      </c>
      <c r="S37">
        <f>IF(ISNUMBER(G37),B37&lt;G37,FALSE)</f>
        <v/>
      </c>
      <c r="T37">
        <f>OR(O37,P37,Q37,R37,S37)</f>
        <v/>
      </c>
    </row>
    <row r="38">
      <c r="A38">
        <f>IF(Prices!A38="","",Prices!A38)</f>
        <v/>
      </c>
      <c r="B38">
        <f>IF(Prices!E38="","",Prices!E38)</f>
        <v/>
      </c>
      <c r="C38">
        <f>IF(Prices!C38="","",Prices!C38)</f>
        <v/>
      </c>
      <c r="D38">
        <f>IF(Prices!D38="","",Prices!D38)</f>
        <v/>
      </c>
      <c r="E38" t="inlineStr"/>
      <c r="F38" t="inlineStr"/>
      <c r="G38">
        <f>AVERAGE(B19:B38)-2*STDEV.P(B19:B38)</f>
        <v/>
      </c>
      <c r="H38">
        <f>MAX(B38-B37,0)</f>
        <v/>
      </c>
      <c r="I38">
        <f>MAX(B37-B38,0)</f>
        <v/>
      </c>
      <c r="J38">
        <f>(J37*13+H38)/14</f>
        <v/>
      </c>
      <c r="K38">
        <f>(K37*13+I38)/14</f>
        <v/>
      </c>
      <c r="L38">
        <f>IF(K38=0,100,100-100/(1+J38/K38))</f>
        <v/>
      </c>
      <c r="M38">
        <f>IF(MAX(C25:C38)=MIN(D25:D38),50,100*(B38-MIN(D25:D38))/(MAX(C25:C38)-MIN(D25:D38)))</f>
        <v/>
      </c>
      <c r="N38">
        <f>AVERAGE(M36:M38)</f>
        <v/>
      </c>
      <c r="O38">
        <f>IF(ISNUMBER(L38),L38&lt;30,FALSE)</f>
        <v/>
      </c>
      <c r="P38">
        <f>IF(ISNUMBER(N38),N38&lt;20,FALSE)</f>
        <v/>
      </c>
      <c r="Q38">
        <f>FALSE</f>
        <v/>
      </c>
      <c r="R38">
        <f>FALSE</f>
        <v/>
      </c>
      <c r="S38">
        <f>IF(ISNUMBER(G38),B38&lt;G38,FALSE)</f>
        <v/>
      </c>
      <c r="T38">
        <f>OR(O38,P38,Q38,R38,S38)</f>
        <v/>
      </c>
    </row>
    <row r="39">
      <c r="A39">
        <f>IF(Prices!A39="","",Prices!A39)</f>
        <v/>
      </c>
      <c r="B39">
        <f>IF(Prices!E39="","",Prices!E39)</f>
        <v/>
      </c>
      <c r="C39">
        <f>IF(Prices!C39="","",Prices!C39)</f>
        <v/>
      </c>
      <c r="D39">
        <f>IF(Prices!D39="","",Prices!D39)</f>
        <v/>
      </c>
      <c r="E39" t="inlineStr"/>
      <c r="F39" t="inlineStr"/>
      <c r="G39">
        <f>AVERAGE(B20:B39)-2*STDEV.P(B20:B39)</f>
        <v/>
      </c>
      <c r="H39">
        <f>MAX(B39-B38,0)</f>
        <v/>
      </c>
      <c r="I39">
        <f>MAX(B38-B39,0)</f>
        <v/>
      </c>
      <c r="J39">
        <f>(J38*13+H39)/14</f>
        <v/>
      </c>
      <c r="K39">
        <f>(K38*13+I39)/14</f>
        <v/>
      </c>
      <c r="L39">
        <f>IF(K39=0,100,100-100/(1+J39/K39))</f>
        <v/>
      </c>
      <c r="M39">
        <f>IF(MAX(C26:C39)=MIN(D26:D39),50,100*(B39-MIN(D26:D39))/(MAX(C26:C39)-MIN(D26:D39)))</f>
        <v/>
      </c>
      <c r="N39">
        <f>AVERAGE(M37:M39)</f>
        <v/>
      </c>
      <c r="O39">
        <f>IF(ISNUMBER(L39),L39&lt;30,FALSE)</f>
        <v/>
      </c>
      <c r="P39">
        <f>IF(ISNUMBER(N39),N39&lt;20,FALSE)</f>
        <v/>
      </c>
      <c r="Q39">
        <f>FALSE</f>
        <v/>
      </c>
      <c r="R39">
        <f>FALSE</f>
        <v/>
      </c>
      <c r="S39">
        <f>IF(ISNUMBER(G39),B39&lt;G39,FALSE)</f>
        <v/>
      </c>
      <c r="T39">
        <f>OR(O39,P39,Q39,R39,S39)</f>
        <v/>
      </c>
    </row>
    <row r="40">
      <c r="A40">
        <f>IF(Prices!A40="","",Prices!A40)</f>
        <v/>
      </c>
      <c r="B40">
        <f>IF(Prices!E40="","",Prices!E40)</f>
        <v/>
      </c>
      <c r="C40">
        <f>IF(Prices!C40="","",Prices!C40)</f>
        <v/>
      </c>
      <c r="D40">
        <f>IF(Prices!D40="","",Prices!D40)</f>
        <v/>
      </c>
      <c r="E40" t="inlineStr"/>
      <c r="F40" t="inlineStr"/>
      <c r="G40">
        <f>AVERAGE(B21:B40)-2*STDEV.P(B21:B40)</f>
        <v/>
      </c>
      <c r="H40">
        <f>MAX(B40-B39,0)</f>
        <v/>
      </c>
      <c r="I40">
        <f>MAX(B39-B40,0)</f>
        <v/>
      </c>
      <c r="J40">
        <f>(J39*13+H40)/14</f>
        <v/>
      </c>
      <c r="K40">
        <f>(K39*13+I40)/14</f>
        <v/>
      </c>
      <c r="L40">
        <f>IF(K40=0,100,100-100/(1+J40/K40))</f>
        <v/>
      </c>
      <c r="M40">
        <f>IF(MAX(C27:C40)=MIN(D27:D40),50,100*(B40-MIN(D27:D40))/(MAX(C27:C40)-MIN(D27:D40)))</f>
        <v/>
      </c>
      <c r="N40">
        <f>AVERAGE(M38:M40)</f>
        <v/>
      </c>
      <c r="O40">
        <f>IF(ISNUMBER(L40),L40&lt;30,FALSE)</f>
        <v/>
      </c>
      <c r="P40">
        <f>IF(ISNUMBER(N40),N40&lt;20,FALSE)</f>
        <v/>
      </c>
      <c r="Q40">
        <f>FALSE</f>
        <v/>
      </c>
      <c r="R40">
        <f>FALSE</f>
        <v/>
      </c>
      <c r="S40">
        <f>IF(ISNUMBER(G40),B40&lt;G40,FALSE)</f>
        <v/>
      </c>
      <c r="T40">
        <f>OR(O40,P40,Q40,R40,S40)</f>
        <v/>
      </c>
    </row>
    <row r="41">
      <c r="A41">
        <f>IF(Prices!A41="","",Prices!A41)</f>
        <v/>
      </c>
      <c r="B41">
        <f>IF(Prices!E41="","",Prices!E41)</f>
        <v/>
      </c>
      <c r="C41">
        <f>IF(Prices!C41="","",Prices!C41)</f>
        <v/>
      </c>
      <c r="D41">
        <f>IF(Prices!D41="","",Prices!D41)</f>
        <v/>
      </c>
      <c r="E41" t="inlineStr"/>
      <c r="F41" t="inlineStr"/>
      <c r="G41">
        <f>AVERAGE(B22:B41)-2*STDEV.P(B22:B41)</f>
        <v/>
      </c>
      <c r="H41">
        <f>MAX(B41-B40,0)</f>
        <v/>
      </c>
      <c r="I41">
        <f>MAX(B40-B41,0)</f>
        <v/>
      </c>
      <c r="J41">
        <f>(J40*13+H41)/14</f>
        <v/>
      </c>
      <c r="K41">
        <f>(K40*13+I41)/14</f>
        <v/>
      </c>
      <c r="L41">
        <f>IF(K41=0,100,100-100/(1+J41/K41))</f>
        <v/>
      </c>
      <c r="M41">
        <f>IF(MAX(C28:C41)=MIN(D28:D41),50,100*(B41-MIN(D28:D41))/(MAX(C28:C41)-MIN(D28:D41)))</f>
        <v/>
      </c>
      <c r="N41">
        <f>AVERAGE(M39:M41)</f>
        <v/>
      </c>
      <c r="O41">
        <f>IF(ISNUMBER(L41),L41&lt;30,FALSE)</f>
        <v/>
      </c>
      <c r="P41">
        <f>IF(ISNUMBER(N41),N41&lt;20,FALSE)</f>
        <v/>
      </c>
      <c r="Q41">
        <f>FALSE</f>
        <v/>
      </c>
      <c r="R41">
        <f>FALSE</f>
        <v/>
      </c>
      <c r="S41">
        <f>IF(ISNUMBER(G41),B41&lt;G41,FALSE)</f>
        <v/>
      </c>
      <c r="T41">
        <f>OR(O41,P41,Q41,R41,S41)</f>
        <v/>
      </c>
    </row>
    <row r="42">
      <c r="A42">
        <f>IF(Prices!A42="","",Prices!A42)</f>
        <v/>
      </c>
      <c r="B42">
        <f>IF(Prices!E42="","",Prices!E42)</f>
        <v/>
      </c>
      <c r="C42">
        <f>IF(Prices!C42="","",Prices!C42)</f>
        <v/>
      </c>
      <c r="D42">
        <f>IF(Prices!D42="","",Prices!D42)</f>
        <v/>
      </c>
      <c r="E42" t="inlineStr"/>
      <c r="F42" t="inlineStr"/>
      <c r="G42">
        <f>AVERAGE(B23:B42)-2*STDEV.P(B23:B42)</f>
        <v/>
      </c>
      <c r="H42">
        <f>MAX(B42-B41,0)</f>
        <v/>
      </c>
      <c r="I42">
        <f>MAX(B41-B42,0)</f>
        <v/>
      </c>
      <c r="J42">
        <f>(J41*13+H42)/14</f>
        <v/>
      </c>
      <c r="K42">
        <f>(K41*13+I42)/14</f>
        <v/>
      </c>
      <c r="L42">
        <f>IF(K42=0,100,100-100/(1+J42/K42))</f>
        <v/>
      </c>
      <c r="M42">
        <f>IF(MAX(C29:C42)=MIN(D29:D42),50,100*(B42-MIN(D29:D42))/(MAX(C29:C42)-MIN(D29:D42)))</f>
        <v/>
      </c>
      <c r="N42">
        <f>AVERAGE(M40:M42)</f>
        <v/>
      </c>
      <c r="O42">
        <f>IF(ISNUMBER(L42),L42&lt;30,FALSE)</f>
        <v/>
      </c>
      <c r="P42">
        <f>IF(ISNUMBER(N42),N42&lt;20,FALSE)</f>
        <v/>
      </c>
      <c r="Q42">
        <f>FALSE</f>
        <v/>
      </c>
      <c r="R42">
        <f>FALSE</f>
        <v/>
      </c>
      <c r="S42">
        <f>IF(ISNUMBER(G42),B42&lt;G42,FALSE)</f>
        <v/>
      </c>
      <c r="T42">
        <f>OR(O42,P42,Q42,R42,S42)</f>
        <v/>
      </c>
    </row>
    <row r="43">
      <c r="A43">
        <f>IF(Prices!A43="","",Prices!A43)</f>
        <v/>
      </c>
      <c r="B43">
        <f>IF(Prices!E43="","",Prices!E43)</f>
        <v/>
      </c>
      <c r="C43">
        <f>IF(Prices!C43="","",Prices!C43)</f>
        <v/>
      </c>
      <c r="D43">
        <f>IF(Prices!D43="","",Prices!D43)</f>
        <v/>
      </c>
      <c r="E43" t="inlineStr"/>
      <c r="F43" t="inlineStr"/>
      <c r="G43">
        <f>AVERAGE(B24:B43)-2*STDEV.P(B24:B43)</f>
        <v/>
      </c>
      <c r="H43">
        <f>MAX(B43-B42,0)</f>
        <v/>
      </c>
      <c r="I43">
        <f>MAX(B42-B43,0)</f>
        <v/>
      </c>
      <c r="J43">
        <f>(J42*13+H43)/14</f>
        <v/>
      </c>
      <c r="K43">
        <f>(K42*13+I43)/14</f>
        <v/>
      </c>
      <c r="L43">
        <f>IF(K43=0,100,100-100/(1+J43/K43))</f>
        <v/>
      </c>
      <c r="M43">
        <f>IF(MAX(C30:C43)=MIN(D30:D43),50,100*(B43-MIN(D30:D43))/(MAX(C30:C43)-MIN(D30:D43)))</f>
        <v/>
      </c>
      <c r="N43">
        <f>AVERAGE(M41:M43)</f>
        <v/>
      </c>
      <c r="O43">
        <f>IF(ISNUMBER(L43),L43&lt;30,FALSE)</f>
        <v/>
      </c>
      <c r="P43">
        <f>IF(ISNUMBER(N43),N43&lt;20,FALSE)</f>
        <v/>
      </c>
      <c r="Q43">
        <f>FALSE</f>
        <v/>
      </c>
      <c r="R43">
        <f>FALSE</f>
        <v/>
      </c>
      <c r="S43">
        <f>IF(ISNUMBER(G43),B43&lt;G43,FALSE)</f>
        <v/>
      </c>
      <c r="T43">
        <f>OR(O43,P43,Q43,R43,S43)</f>
        <v/>
      </c>
    </row>
    <row r="44">
      <c r="A44">
        <f>IF(Prices!A44="","",Prices!A44)</f>
        <v/>
      </c>
      <c r="B44">
        <f>IF(Prices!E44="","",Prices!E44)</f>
        <v/>
      </c>
      <c r="C44">
        <f>IF(Prices!C44="","",Prices!C44)</f>
        <v/>
      </c>
      <c r="D44">
        <f>IF(Prices!D44="","",Prices!D44)</f>
        <v/>
      </c>
      <c r="E44" t="inlineStr"/>
      <c r="F44" t="inlineStr"/>
      <c r="G44">
        <f>AVERAGE(B25:B44)-2*STDEV.P(B25:B44)</f>
        <v/>
      </c>
      <c r="H44">
        <f>MAX(B44-B43,0)</f>
        <v/>
      </c>
      <c r="I44">
        <f>MAX(B43-B44,0)</f>
        <v/>
      </c>
      <c r="J44">
        <f>(J43*13+H44)/14</f>
        <v/>
      </c>
      <c r="K44">
        <f>(K43*13+I44)/14</f>
        <v/>
      </c>
      <c r="L44">
        <f>IF(K44=0,100,100-100/(1+J44/K44))</f>
        <v/>
      </c>
      <c r="M44">
        <f>IF(MAX(C31:C44)=MIN(D31:D44),50,100*(B44-MIN(D31:D44))/(MAX(C31:C44)-MIN(D31:D44)))</f>
        <v/>
      </c>
      <c r="N44">
        <f>AVERAGE(M42:M44)</f>
        <v/>
      </c>
      <c r="O44">
        <f>IF(ISNUMBER(L44),L44&lt;30,FALSE)</f>
        <v/>
      </c>
      <c r="P44">
        <f>IF(ISNUMBER(N44),N44&lt;20,FALSE)</f>
        <v/>
      </c>
      <c r="Q44">
        <f>FALSE</f>
        <v/>
      </c>
      <c r="R44">
        <f>FALSE</f>
        <v/>
      </c>
      <c r="S44">
        <f>IF(ISNUMBER(G44),B44&lt;G44,FALSE)</f>
        <v/>
      </c>
      <c r="T44">
        <f>OR(O44,P44,Q44,R44,S44)</f>
        <v/>
      </c>
    </row>
    <row r="45">
      <c r="A45">
        <f>IF(Prices!A45="","",Prices!A45)</f>
        <v/>
      </c>
      <c r="B45">
        <f>IF(Prices!E45="","",Prices!E45)</f>
        <v/>
      </c>
      <c r="C45">
        <f>IF(Prices!C45="","",Prices!C45)</f>
        <v/>
      </c>
      <c r="D45">
        <f>IF(Prices!D45="","",Prices!D45)</f>
        <v/>
      </c>
      <c r="E45" t="inlineStr"/>
      <c r="F45" t="inlineStr"/>
      <c r="G45">
        <f>AVERAGE(B26:B45)-2*STDEV.P(B26:B45)</f>
        <v/>
      </c>
      <c r="H45">
        <f>MAX(B45-B44,0)</f>
        <v/>
      </c>
      <c r="I45">
        <f>MAX(B44-B45,0)</f>
        <v/>
      </c>
      <c r="J45">
        <f>(J44*13+H45)/14</f>
        <v/>
      </c>
      <c r="K45">
        <f>(K44*13+I45)/14</f>
        <v/>
      </c>
      <c r="L45">
        <f>IF(K45=0,100,100-100/(1+J45/K45))</f>
        <v/>
      </c>
      <c r="M45">
        <f>IF(MAX(C32:C45)=MIN(D32:D45),50,100*(B45-MIN(D32:D45))/(MAX(C32:C45)-MIN(D32:D45)))</f>
        <v/>
      </c>
      <c r="N45">
        <f>AVERAGE(M43:M45)</f>
        <v/>
      </c>
      <c r="O45">
        <f>IF(ISNUMBER(L45),L45&lt;30,FALSE)</f>
        <v/>
      </c>
      <c r="P45">
        <f>IF(ISNUMBER(N45),N45&lt;20,FALSE)</f>
        <v/>
      </c>
      <c r="Q45">
        <f>FALSE</f>
        <v/>
      </c>
      <c r="R45">
        <f>FALSE</f>
        <v/>
      </c>
      <c r="S45">
        <f>IF(ISNUMBER(G45),B45&lt;G45,FALSE)</f>
        <v/>
      </c>
      <c r="T45">
        <f>OR(O45,P45,Q45,R45,S45)</f>
        <v/>
      </c>
    </row>
    <row r="46">
      <c r="A46">
        <f>IF(Prices!A46="","",Prices!A46)</f>
        <v/>
      </c>
      <c r="B46">
        <f>IF(Prices!E46="","",Prices!E46)</f>
        <v/>
      </c>
      <c r="C46">
        <f>IF(Prices!C46="","",Prices!C46)</f>
        <v/>
      </c>
      <c r="D46">
        <f>IF(Prices!D46="","",Prices!D46)</f>
        <v/>
      </c>
      <c r="E46" t="inlineStr"/>
      <c r="F46" t="inlineStr"/>
      <c r="G46">
        <f>AVERAGE(B27:B46)-2*STDEV.P(B27:B46)</f>
        <v/>
      </c>
      <c r="H46">
        <f>MAX(B46-B45,0)</f>
        <v/>
      </c>
      <c r="I46">
        <f>MAX(B45-B46,0)</f>
        <v/>
      </c>
      <c r="J46">
        <f>(J45*13+H46)/14</f>
        <v/>
      </c>
      <c r="K46">
        <f>(K45*13+I46)/14</f>
        <v/>
      </c>
      <c r="L46">
        <f>IF(K46=0,100,100-100/(1+J46/K46))</f>
        <v/>
      </c>
      <c r="M46">
        <f>IF(MAX(C33:C46)=MIN(D33:D46),50,100*(B46-MIN(D33:D46))/(MAX(C33:C46)-MIN(D33:D46)))</f>
        <v/>
      </c>
      <c r="N46">
        <f>AVERAGE(M44:M46)</f>
        <v/>
      </c>
      <c r="O46">
        <f>IF(ISNUMBER(L46),L46&lt;30,FALSE)</f>
        <v/>
      </c>
      <c r="P46">
        <f>IF(ISNUMBER(N46),N46&lt;20,FALSE)</f>
        <v/>
      </c>
      <c r="Q46">
        <f>FALSE</f>
        <v/>
      </c>
      <c r="R46">
        <f>FALSE</f>
        <v/>
      </c>
      <c r="S46">
        <f>IF(ISNUMBER(G46),B46&lt;G46,FALSE)</f>
        <v/>
      </c>
      <c r="T46">
        <f>OR(O46,P46,Q46,R46,S46)</f>
        <v/>
      </c>
    </row>
    <row r="47">
      <c r="A47">
        <f>IF(Prices!A47="","",Prices!A47)</f>
        <v/>
      </c>
      <c r="B47">
        <f>IF(Prices!E47="","",Prices!E47)</f>
        <v/>
      </c>
      <c r="C47">
        <f>IF(Prices!C47="","",Prices!C47)</f>
        <v/>
      </c>
      <c r="D47">
        <f>IF(Prices!D47="","",Prices!D47)</f>
        <v/>
      </c>
      <c r="E47" t="inlineStr"/>
      <c r="F47" t="inlineStr"/>
      <c r="G47">
        <f>AVERAGE(B28:B47)-2*STDEV.P(B28:B47)</f>
        <v/>
      </c>
      <c r="H47">
        <f>MAX(B47-B46,0)</f>
        <v/>
      </c>
      <c r="I47">
        <f>MAX(B46-B47,0)</f>
        <v/>
      </c>
      <c r="J47">
        <f>(J46*13+H47)/14</f>
        <v/>
      </c>
      <c r="K47">
        <f>(K46*13+I47)/14</f>
        <v/>
      </c>
      <c r="L47">
        <f>IF(K47=0,100,100-100/(1+J47/K47))</f>
        <v/>
      </c>
      <c r="M47">
        <f>IF(MAX(C34:C47)=MIN(D34:D47),50,100*(B47-MIN(D34:D47))/(MAX(C34:C47)-MIN(D34:D47)))</f>
        <v/>
      </c>
      <c r="N47">
        <f>AVERAGE(M45:M47)</f>
        <v/>
      </c>
      <c r="O47">
        <f>IF(ISNUMBER(L47),L47&lt;30,FALSE)</f>
        <v/>
      </c>
      <c r="P47">
        <f>IF(ISNUMBER(N47),N47&lt;20,FALSE)</f>
        <v/>
      </c>
      <c r="Q47">
        <f>FALSE</f>
        <v/>
      </c>
      <c r="R47">
        <f>FALSE</f>
        <v/>
      </c>
      <c r="S47">
        <f>IF(ISNUMBER(G47),B47&lt;G47,FALSE)</f>
        <v/>
      </c>
      <c r="T47">
        <f>OR(O47,P47,Q47,R47,S47)</f>
        <v/>
      </c>
    </row>
    <row r="48">
      <c r="A48">
        <f>IF(Prices!A48="","",Prices!A48)</f>
        <v/>
      </c>
      <c r="B48">
        <f>IF(Prices!E48="","",Prices!E48)</f>
        <v/>
      </c>
      <c r="C48">
        <f>IF(Prices!C48="","",Prices!C48)</f>
        <v/>
      </c>
      <c r="D48">
        <f>IF(Prices!D48="","",Prices!D48)</f>
        <v/>
      </c>
      <c r="E48" t="inlineStr"/>
      <c r="F48" t="inlineStr"/>
      <c r="G48">
        <f>AVERAGE(B29:B48)-2*STDEV.P(B29:B48)</f>
        <v/>
      </c>
      <c r="H48">
        <f>MAX(B48-B47,0)</f>
        <v/>
      </c>
      <c r="I48">
        <f>MAX(B47-B48,0)</f>
        <v/>
      </c>
      <c r="J48">
        <f>(J47*13+H48)/14</f>
        <v/>
      </c>
      <c r="K48">
        <f>(K47*13+I48)/14</f>
        <v/>
      </c>
      <c r="L48">
        <f>IF(K48=0,100,100-100/(1+J48/K48))</f>
        <v/>
      </c>
      <c r="M48">
        <f>IF(MAX(C35:C48)=MIN(D35:D48),50,100*(B48-MIN(D35:D48))/(MAX(C35:C48)-MIN(D35:D48)))</f>
        <v/>
      </c>
      <c r="N48">
        <f>AVERAGE(M46:M48)</f>
        <v/>
      </c>
      <c r="O48">
        <f>IF(ISNUMBER(L48),L48&lt;30,FALSE)</f>
        <v/>
      </c>
      <c r="P48">
        <f>IF(ISNUMBER(N48),N48&lt;20,FALSE)</f>
        <v/>
      </c>
      <c r="Q48">
        <f>FALSE</f>
        <v/>
      </c>
      <c r="R48">
        <f>FALSE</f>
        <v/>
      </c>
      <c r="S48">
        <f>IF(ISNUMBER(G48),B48&lt;G48,FALSE)</f>
        <v/>
      </c>
      <c r="T48">
        <f>OR(O48,P48,Q48,R48,S48)</f>
        <v/>
      </c>
    </row>
    <row r="49">
      <c r="A49">
        <f>IF(Prices!A49="","",Prices!A49)</f>
        <v/>
      </c>
      <c r="B49">
        <f>IF(Prices!E49="","",Prices!E49)</f>
        <v/>
      </c>
      <c r="C49">
        <f>IF(Prices!C49="","",Prices!C49)</f>
        <v/>
      </c>
      <c r="D49">
        <f>IF(Prices!D49="","",Prices!D49)</f>
        <v/>
      </c>
      <c r="E49" t="inlineStr"/>
      <c r="F49" t="inlineStr"/>
      <c r="G49">
        <f>AVERAGE(B30:B49)-2*STDEV.P(B30:B49)</f>
        <v/>
      </c>
      <c r="H49">
        <f>MAX(B49-B48,0)</f>
        <v/>
      </c>
      <c r="I49">
        <f>MAX(B48-B49,0)</f>
        <v/>
      </c>
      <c r="J49">
        <f>(J48*13+H49)/14</f>
        <v/>
      </c>
      <c r="K49">
        <f>(K48*13+I49)/14</f>
        <v/>
      </c>
      <c r="L49">
        <f>IF(K49=0,100,100-100/(1+J49/K49))</f>
        <v/>
      </c>
      <c r="M49">
        <f>IF(MAX(C36:C49)=MIN(D36:D49),50,100*(B49-MIN(D36:D49))/(MAX(C36:C49)-MIN(D36:D49)))</f>
        <v/>
      </c>
      <c r="N49">
        <f>AVERAGE(M47:M49)</f>
        <v/>
      </c>
      <c r="O49">
        <f>IF(ISNUMBER(L49),L49&lt;30,FALSE)</f>
        <v/>
      </c>
      <c r="P49">
        <f>IF(ISNUMBER(N49),N49&lt;20,FALSE)</f>
        <v/>
      </c>
      <c r="Q49">
        <f>FALSE</f>
        <v/>
      </c>
      <c r="R49">
        <f>FALSE</f>
        <v/>
      </c>
      <c r="S49">
        <f>IF(ISNUMBER(G49),B49&lt;G49,FALSE)</f>
        <v/>
      </c>
      <c r="T49">
        <f>OR(O49,P49,Q49,R49,S49)</f>
        <v/>
      </c>
    </row>
    <row r="50">
      <c r="A50">
        <f>IF(Prices!A50="","",Prices!A50)</f>
        <v/>
      </c>
      <c r="B50">
        <f>IF(Prices!E50="","",Prices!E50)</f>
        <v/>
      </c>
      <c r="C50">
        <f>IF(Prices!C50="","",Prices!C50)</f>
        <v/>
      </c>
      <c r="D50">
        <f>IF(Prices!D50="","",Prices!D50)</f>
        <v/>
      </c>
      <c r="E50" t="inlineStr"/>
      <c r="F50" t="inlineStr"/>
      <c r="G50">
        <f>AVERAGE(B31:B50)-2*STDEV.P(B31:B50)</f>
        <v/>
      </c>
      <c r="H50">
        <f>MAX(B50-B49,0)</f>
        <v/>
      </c>
      <c r="I50">
        <f>MAX(B49-B50,0)</f>
        <v/>
      </c>
      <c r="J50">
        <f>(J49*13+H50)/14</f>
        <v/>
      </c>
      <c r="K50">
        <f>(K49*13+I50)/14</f>
        <v/>
      </c>
      <c r="L50">
        <f>IF(K50=0,100,100-100/(1+J50/K50))</f>
        <v/>
      </c>
      <c r="M50">
        <f>IF(MAX(C37:C50)=MIN(D37:D50),50,100*(B50-MIN(D37:D50))/(MAX(C37:C50)-MIN(D37:D50)))</f>
        <v/>
      </c>
      <c r="N50">
        <f>AVERAGE(M48:M50)</f>
        <v/>
      </c>
      <c r="O50">
        <f>IF(ISNUMBER(L50),L50&lt;30,FALSE)</f>
        <v/>
      </c>
      <c r="P50">
        <f>IF(ISNUMBER(N50),N50&lt;20,FALSE)</f>
        <v/>
      </c>
      <c r="Q50">
        <f>FALSE</f>
        <v/>
      </c>
      <c r="R50">
        <f>FALSE</f>
        <v/>
      </c>
      <c r="S50">
        <f>IF(ISNUMBER(G50),B50&lt;G50,FALSE)</f>
        <v/>
      </c>
      <c r="T50">
        <f>OR(O50,P50,Q50,R50,S50)</f>
        <v/>
      </c>
    </row>
    <row r="51">
      <c r="A51">
        <f>IF(Prices!A51="","",Prices!A51)</f>
        <v/>
      </c>
      <c r="B51">
        <f>IF(Prices!E51="","",Prices!E51)</f>
        <v/>
      </c>
      <c r="C51">
        <f>IF(Prices!C51="","",Prices!C51)</f>
        <v/>
      </c>
      <c r="D51">
        <f>IF(Prices!D51="","",Prices!D51)</f>
        <v/>
      </c>
      <c r="E51">
        <f>AVERAGE(B2:B51)</f>
        <v/>
      </c>
      <c r="F51" t="inlineStr"/>
      <c r="G51">
        <f>AVERAGE(B32:B51)-2*STDEV.P(B32:B51)</f>
        <v/>
      </c>
      <c r="H51">
        <f>MAX(B51-B50,0)</f>
        <v/>
      </c>
      <c r="I51">
        <f>MAX(B50-B51,0)</f>
        <v/>
      </c>
      <c r="J51">
        <f>(J50*13+H51)/14</f>
        <v/>
      </c>
      <c r="K51">
        <f>(K50*13+I51)/14</f>
        <v/>
      </c>
      <c r="L51">
        <f>IF(K51=0,100,100-100/(1+J51/K51))</f>
        <v/>
      </c>
      <c r="M51">
        <f>IF(MAX(C38:C51)=MIN(D38:D51),50,100*(B51-MIN(D38:D51))/(MAX(C38:C51)-MIN(D38:D51)))</f>
        <v/>
      </c>
      <c r="N51">
        <f>AVERAGE(M49:M51)</f>
        <v/>
      </c>
      <c r="O51">
        <f>IF(ISNUMBER(L51),L51&lt;30,FALSE)</f>
        <v/>
      </c>
      <c r="P51">
        <f>IF(ISNUMBER(N51),N51&lt;20,FALSE)</f>
        <v/>
      </c>
      <c r="Q51">
        <f>FALSE</f>
        <v/>
      </c>
      <c r="R51">
        <f>FALSE</f>
        <v/>
      </c>
      <c r="S51">
        <f>IF(ISNUMBER(G51),B51&lt;G51,FALSE)</f>
        <v/>
      </c>
      <c r="T51">
        <f>OR(O51,P51,Q51,R51,S51)</f>
        <v/>
      </c>
    </row>
    <row r="52">
      <c r="A52">
        <f>IF(Prices!A52="","",Prices!A52)</f>
        <v/>
      </c>
      <c r="B52">
        <f>IF(Prices!E52="","",Prices!E52)</f>
        <v/>
      </c>
      <c r="C52">
        <f>IF(Prices!C52="","",Prices!C52)</f>
        <v/>
      </c>
      <c r="D52">
        <f>IF(Prices!D52="","",Prices!D52)</f>
        <v/>
      </c>
      <c r="E52">
        <f>AVERAGE(B3:B52)</f>
        <v/>
      </c>
      <c r="F52" t="inlineStr"/>
      <c r="G52">
        <f>AVERAGE(B33:B52)-2*STDEV.P(B33:B52)</f>
        <v/>
      </c>
      <c r="H52">
        <f>MAX(B52-B51,0)</f>
        <v/>
      </c>
      <c r="I52">
        <f>MAX(B51-B52,0)</f>
        <v/>
      </c>
      <c r="J52">
        <f>(J51*13+H52)/14</f>
        <v/>
      </c>
      <c r="K52">
        <f>(K51*13+I52)/14</f>
        <v/>
      </c>
      <c r="L52">
        <f>IF(K52=0,100,100-100/(1+J52/K52))</f>
        <v/>
      </c>
      <c r="M52">
        <f>IF(MAX(C39:C52)=MIN(D39:D52),50,100*(B52-MIN(D39:D52))/(MAX(C39:C52)-MIN(D39:D52)))</f>
        <v/>
      </c>
      <c r="N52">
        <f>AVERAGE(M50:M52)</f>
        <v/>
      </c>
      <c r="O52">
        <f>IF(ISNUMBER(L52),L52&lt;30,FALSE)</f>
        <v/>
      </c>
      <c r="P52">
        <f>IF(ISNUMBER(N52),N52&lt;20,FALSE)</f>
        <v/>
      </c>
      <c r="Q52">
        <f>FALSE</f>
        <v/>
      </c>
      <c r="R52">
        <f>FALSE</f>
        <v/>
      </c>
      <c r="S52">
        <f>IF(ISNUMBER(G52),B52&lt;G52,FALSE)</f>
        <v/>
      </c>
      <c r="T52">
        <f>OR(O52,P52,Q52,R52,S52)</f>
        <v/>
      </c>
    </row>
    <row r="53">
      <c r="A53">
        <f>IF(Prices!A53="","",Prices!A53)</f>
        <v/>
      </c>
      <c r="B53">
        <f>IF(Prices!E53="","",Prices!E53)</f>
        <v/>
      </c>
      <c r="C53">
        <f>IF(Prices!C53="","",Prices!C53)</f>
        <v/>
      </c>
      <c r="D53">
        <f>IF(Prices!D53="","",Prices!D53)</f>
        <v/>
      </c>
      <c r="E53">
        <f>AVERAGE(B4:B53)</f>
        <v/>
      </c>
      <c r="F53" t="inlineStr"/>
      <c r="G53">
        <f>AVERAGE(B34:B53)-2*STDEV.P(B34:B53)</f>
        <v/>
      </c>
      <c r="H53">
        <f>MAX(B53-B52,0)</f>
        <v/>
      </c>
      <c r="I53">
        <f>MAX(B52-B53,0)</f>
        <v/>
      </c>
      <c r="J53">
        <f>(J52*13+H53)/14</f>
        <v/>
      </c>
      <c r="K53">
        <f>(K52*13+I53)/14</f>
        <v/>
      </c>
      <c r="L53">
        <f>IF(K53=0,100,100-100/(1+J53/K53))</f>
        <v/>
      </c>
      <c r="M53">
        <f>IF(MAX(C40:C53)=MIN(D40:D53),50,100*(B53-MIN(D40:D53))/(MAX(C40:C53)-MIN(D40:D53)))</f>
        <v/>
      </c>
      <c r="N53">
        <f>AVERAGE(M51:M53)</f>
        <v/>
      </c>
      <c r="O53">
        <f>IF(ISNUMBER(L53),L53&lt;30,FALSE)</f>
        <v/>
      </c>
      <c r="P53">
        <f>IF(ISNUMBER(N53),N53&lt;20,FALSE)</f>
        <v/>
      </c>
      <c r="Q53">
        <f>FALSE</f>
        <v/>
      </c>
      <c r="R53">
        <f>FALSE</f>
        <v/>
      </c>
      <c r="S53">
        <f>IF(ISNUMBER(G53),B53&lt;G53,FALSE)</f>
        <v/>
      </c>
      <c r="T53">
        <f>OR(O53,P53,Q53,R53,S53)</f>
        <v/>
      </c>
    </row>
    <row r="54">
      <c r="A54">
        <f>IF(Prices!A54="","",Prices!A54)</f>
        <v/>
      </c>
      <c r="B54">
        <f>IF(Prices!E54="","",Prices!E54)</f>
        <v/>
      </c>
      <c r="C54">
        <f>IF(Prices!C54="","",Prices!C54)</f>
        <v/>
      </c>
      <c r="D54">
        <f>IF(Prices!D54="","",Prices!D54)</f>
        <v/>
      </c>
      <c r="E54">
        <f>AVERAGE(B5:B54)</f>
        <v/>
      </c>
      <c r="F54" t="inlineStr"/>
      <c r="G54">
        <f>AVERAGE(B35:B54)-2*STDEV.P(B35:B54)</f>
        <v/>
      </c>
      <c r="H54">
        <f>MAX(B54-B53,0)</f>
        <v/>
      </c>
      <c r="I54">
        <f>MAX(B53-B54,0)</f>
        <v/>
      </c>
      <c r="J54">
        <f>(J53*13+H54)/14</f>
        <v/>
      </c>
      <c r="K54">
        <f>(K53*13+I54)/14</f>
        <v/>
      </c>
      <c r="L54">
        <f>IF(K54=0,100,100-100/(1+J54/K54))</f>
        <v/>
      </c>
      <c r="M54">
        <f>IF(MAX(C41:C54)=MIN(D41:D54),50,100*(B54-MIN(D41:D54))/(MAX(C41:C54)-MIN(D41:D54)))</f>
        <v/>
      </c>
      <c r="N54">
        <f>AVERAGE(M52:M54)</f>
        <v/>
      </c>
      <c r="O54">
        <f>IF(ISNUMBER(L54),L54&lt;30,FALSE)</f>
        <v/>
      </c>
      <c r="P54">
        <f>IF(ISNUMBER(N54),N54&lt;20,FALSE)</f>
        <v/>
      </c>
      <c r="Q54">
        <f>FALSE</f>
        <v/>
      </c>
      <c r="R54">
        <f>FALSE</f>
        <v/>
      </c>
      <c r="S54">
        <f>IF(ISNUMBER(G54),B54&lt;G54,FALSE)</f>
        <v/>
      </c>
      <c r="T54">
        <f>OR(O54,P54,Q54,R54,S54)</f>
        <v/>
      </c>
    </row>
    <row r="55">
      <c r="A55">
        <f>IF(Prices!A55="","",Prices!A55)</f>
        <v/>
      </c>
      <c r="B55">
        <f>IF(Prices!E55="","",Prices!E55)</f>
        <v/>
      </c>
      <c r="C55">
        <f>IF(Prices!C55="","",Prices!C55)</f>
        <v/>
      </c>
      <c r="D55">
        <f>IF(Prices!D55="","",Prices!D55)</f>
        <v/>
      </c>
      <c r="E55">
        <f>AVERAGE(B6:B55)</f>
        <v/>
      </c>
      <c r="F55" t="inlineStr"/>
      <c r="G55">
        <f>AVERAGE(B36:B55)-2*STDEV.P(B36:B55)</f>
        <v/>
      </c>
      <c r="H55">
        <f>MAX(B55-B54,0)</f>
        <v/>
      </c>
      <c r="I55">
        <f>MAX(B54-B55,0)</f>
        <v/>
      </c>
      <c r="J55">
        <f>(J54*13+H55)/14</f>
        <v/>
      </c>
      <c r="K55">
        <f>(K54*13+I55)/14</f>
        <v/>
      </c>
      <c r="L55">
        <f>IF(K55=0,100,100-100/(1+J55/K55))</f>
        <v/>
      </c>
      <c r="M55">
        <f>IF(MAX(C42:C55)=MIN(D42:D55),50,100*(B55-MIN(D42:D55))/(MAX(C42:C55)-MIN(D42:D55)))</f>
        <v/>
      </c>
      <c r="N55">
        <f>AVERAGE(M53:M55)</f>
        <v/>
      </c>
      <c r="O55">
        <f>IF(ISNUMBER(L55),L55&lt;30,FALSE)</f>
        <v/>
      </c>
      <c r="P55">
        <f>IF(ISNUMBER(N55),N55&lt;20,FALSE)</f>
        <v/>
      </c>
      <c r="Q55">
        <f>FALSE</f>
        <v/>
      </c>
      <c r="R55">
        <f>FALSE</f>
        <v/>
      </c>
      <c r="S55">
        <f>IF(ISNUMBER(G55),B55&lt;G55,FALSE)</f>
        <v/>
      </c>
      <c r="T55">
        <f>OR(O55,P55,Q55,R55,S55)</f>
        <v/>
      </c>
    </row>
    <row r="56">
      <c r="A56">
        <f>IF(Prices!A56="","",Prices!A56)</f>
        <v/>
      </c>
      <c r="B56">
        <f>IF(Prices!E56="","",Prices!E56)</f>
        <v/>
      </c>
      <c r="C56">
        <f>IF(Prices!C56="","",Prices!C56)</f>
        <v/>
      </c>
      <c r="D56">
        <f>IF(Prices!D56="","",Prices!D56)</f>
        <v/>
      </c>
      <c r="E56">
        <f>AVERAGE(B7:B56)</f>
        <v/>
      </c>
      <c r="F56" t="inlineStr"/>
      <c r="G56">
        <f>AVERAGE(B37:B56)-2*STDEV.P(B37:B56)</f>
        <v/>
      </c>
      <c r="H56">
        <f>MAX(B56-B55,0)</f>
        <v/>
      </c>
      <c r="I56">
        <f>MAX(B55-B56,0)</f>
        <v/>
      </c>
      <c r="J56">
        <f>(J55*13+H56)/14</f>
        <v/>
      </c>
      <c r="K56">
        <f>(K55*13+I56)/14</f>
        <v/>
      </c>
      <c r="L56">
        <f>IF(K56=0,100,100-100/(1+J56/K56))</f>
        <v/>
      </c>
      <c r="M56">
        <f>IF(MAX(C43:C56)=MIN(D43:D56),50,100*(B56-MIN(D43:D56))/(MAX(C43:C56)-MIN(D43:D56)))</f>
        <v/>
      </c>
      <c r="N56">
        <f>AVERAGE(M54:M56)</f>
        <v/>
      </c>
      <c r="O56">
        <f>IF(ISNUMBER(L56),L56&lt;30,FALSE)</f>
        <v/>
      </c>
      <c r="P56">
        <f>IF(ISNUMBER(N56),N56&lt;20,FALSE)</f>
        <v/>
      </c>
      <c r="Q56">
        <f>FALSE</f>
        <v/>
      </c>
      <c r="R56">
        <f>FALSE</f>
        <v/>
      </c>
      <c r="S56">
        <f>IF(ISNUMBER(G56),B56&lt;G56,FALSE)</f>
        <v/>
      </c>
      <c r="T56">
        <f>OR(O56,P56,Q56,R56,S56)</f>
        <v/>
      </c>
    </row>
    <row r="57">
      <c r="A57">
        <f>IF(Prices!A57="","",Prices!A57)</f>
        <v/>
      </c>
      <c r="B57">
        <f>IF(Prices!E57="","",Prices!E57)</f>
        <v/>
      </c>
      <c r="C57">
        <f>IF(Prices!C57="","",Prices!C57)</f>
        <v/>
      </c>
      <c r="D57">
        <f>IF(Prices!D57="","",Prices!D57)</f>
        <v/>
      </c>
      <c r="E57">
        <f>AVERAGE(B8:B57)</f>
        <v/>
      </c>
      <c r="F57" t="inlineStr"/>
      <c r="G57">
        <f>AVERAGE(B38:B57)-2*STDEV.P(B38:B57)</f>
        <v/>
      </c>
      <c r="H57">
        <f>MAX(B57-B56,0)</f>
        <v/>
      </c>
      <c r="I57">
        <f>MAX(B56-B57,0)</f>
        <v/>
      </c>
      <c r="J57">
        <f>(J56*13+H57)/14</f>
        <v/>
      </c>
      <c r="K57">
        <f>(K56*13+I57)/14</f>
        <v/>
      </c>
      <c r="L57">
        <f>IF(K57=0,100,100-100/(1+J57/K57))</f>
        <v/>
      </c>
      <c r="M57">
        <f>IF(MAX(C44:C57)=MIN(D44:D57),50,100*(B57-MIN(D44:D57))/(MAX(C44:C57)-MIN(D44:D57)))</f>
        <v/>
      </c>
      <c r="N57">
        <f>AVERAGE(M55:M57)</f>
        <v/>
      </c>
      <c r="O57">
        <f>IF(ISNUMBER(L57),L57&lt;30,FALSE)</f>
        <v/>
      </c>
      <c r="P57">
        <f>IF(ISNUMBER(N57),N57&lt;20,FALSE)</f>
        <v/>
      </c>
      <c r="Q57">
        <f>FALSE</f>
        <v/>
      </c>
      <c r="R57">
        <f>FALSE</f>
        <v/>
      </c>
      <c r="S57">
        <f>IF(ISNUMBER(G57),B57&lt;G57,FALSE)</f>
        <v/>
      </c>
      <c r="T57">
        <f>OR(O57,P57,Q57,R57,S57)</f>
        <v/>
      </c>
    </row>
    <row r="58">
      <c r="A58">
        <f>IF(Prices!A58="","",Prices!A58)</f>
        <v/>
      </c>
      <c r="B58">
        <f>IF(Prices!E58="","",Prices!E58)</f>
        <v/>
      </c>
      <c r="C58">
        <f>IF(Prices!C58="","",Prices!C58)</f>
        <v/>
      </c>
      <c r="D58">
        <f>IF(Prices!D58="","",Prices!D58)</f>
        <v/>
      </c>
      <c r="E58">
        <f>AVERAGE(B9:B58)</f>
        <v/>
      </c>
      <c r="F58" t="inlineStr"/>
      <c r="G58">
        <f>AVERAGE(B39:B58)-2*STDEV.P(B39:B58)</f>
        <v/>
      </c>
      <c r="H58">
        <f>MAX(B58-B57,0)</f>
        <v/>
      </c>
      <c r="I58">
        <f>MAX(B57-B58,0)</f>
        <v/>
      </c>
      <c r="J58">
        <f>(J57*13+H58)/14</f>
        <v/>
      </c>
      <c r="K58">
        <f>(K57*13+I58)/14</f>
        <v/>
      </c>
      <c r="L58">
        <f>IF(K58=0,100,100-100/(1+J58/K58))</f>
        <v/>
      </c>
      <c r="M58">
        <f>IF(MAX(C45:C58)=MIN(D45:D58),50,100*(B58-MIN(D45:D58))/(MAX(C45:C58)-MIN(D45:D58)))</f>
        <v/>
      </c>
      <c r="N58">
        <f>AVERAGE(M56:M58)</f>
        <v/>
      </c>
      <c r="O58">
        <f>IF(ISNUMBER(L58),L58&lt;30,FALSE)</f>
        <v/>
      </c>
      <c r="P58">
        <f>IF(ISNUMBER(N58),N58&lt;20,FALSE)</f>
        <v/>
      </c>
      <c r="Q58">
        <f>FALSE</f>
        <v/>
      </c>
      <c r="R58">
        <f>FALSE</f>
        <v/>
      </c>
      <c r="S58">
        <f>IF(ISNUMBER(G58),B58&lt;G58,FALSE)</f>
        <v/>
      </c>
      <c r="T58">
        <f>OR(O58,P58,Q58,R58,S58)</f>
        <v/>
      </c>
    </row>
    <row r="59">
      <c r="A59">
        <f>IF(Prices!A59="","",Prices!A59)</f>
        <v/>
      </c>
      <c r="B59">
        <f>IF(Prices!E59="","",Prices!E59)</f>
        <v/>
      </c>
      <c r="C59">
        <f>IF(Prices!C59="","",Prices!C59)</f>
        <v/>
      </c>
      <c r="D59">
        <f>IF(Prices!D59="","",Prices!D59)</f>
        <v/>
      </c>
      <c r="E59">
        <f>AVERAGE(B10:B59)</f>
        <v/>
      </c>
      <c r="F59" t="inlineStr"/>
      <c r="G59">
        <f>AVERAGE(B40:B59)-2*STDEV.P(B40:B59)</f>
        <v/>
      </c>
      <c r="H59">
        <f>MAX(B59-B58,0)</f>
        <v/>
      </c>
      <c r="I59">
        <f>MAX(B58-B59,0)</f>
        <v/>
      </c>
      <c r="J59">
        <f>(J58*13+H59)/14</f>
        <v/>
      </c>
      <c r="K59">
        <f>(K58*13+I59)/14</f>
        <v/>
      </c>
      <c r="L59">
        <f>IF(K59=0,100,100-100/(1+J59/K59))</f>
        <v/>
      </c>
      <c r="M59">
        <f>IF(MAX(C46:C59)=MIN(D46:D59),50,100*(B59-MIN(D46:D59))/(MAX(C46:C59)-MIN(D46:D59)))</f>
        <v/>
      </c>
      <c r="N59">
        <f>AVERAGE(M57:M59)</f>
        <v/>
      </c>
      <c r="O59">
        <f>IF(ISNUMBER(L59),L59&lt;30,FALSE)</f>
        <v/>
      </c>
      <c r="P59">
        <f>IF(ISNUMBER(N59),N59&lt;20,FALSE)</f>
        <v/>
      </c>
      <c r="Q59">
        <f>FALSE</f>
        <v/>
      </c>
      <c r="R59">
        <f>FALSE</f>
        <v/>
      </c>
      <c r="S59">
        <f>IF(ISNUMBER(G59),B59&lt;G59,FALSE)</f>
        <v/>
      </c>
      <c r="T59">
        <f>OR(O59,P59,Q59,R59,S59)</f>
        <v/>
      </c>
    </row>
    <row r="60">
      <c r="A60">
        <f>IF(Prices!A60="","",Prices!A60)</f>
        <v/>
      </c>
      <c r="B60">
        <f>IF(Prices!E60="","",Prices!E60)</f>
        <v/>
      </c>
      <c r="C60">
        <f>IF(Prices!C60="","",Prices!C60)</f>
        <v/>
      </c>
      <c r="D60">
        <f>IF(Prices!D60="","",Prices!D60)</f>
        <v/>
      </c>
      <c r="E60">
        <f>AVERAGE(B11:B60)</f>
        <v/>
      </c>
      <c r="F60" t="inlineStr"/>
      <c r="G60">
        <f>AVERAGE(B41:B60)-2*STDEV.P(B41:B60)</f>
        <v/>
      </c>
      <c r="H60">
        <f>MAX(B60-B59,0)</f>
        <v/>
      </c>
      <c r="I60">
        <f>MAX(B59-B60,0)</f>
        <v/>
      </c>
      <c r="J60">
        <f>(J59*13+H60)/14</f>
        <v/>
      </c>
      <c r="K60">
        <f>(K59*13+I60)/14</f>
        <v/>
      </c>
      <c r="L60">
        <f>IF(K60=0,100,100-100/(1+J60/K60))</f>
        <v/>
      </c>
      <c r="M60">
        <f>IF(MAX(C47:C60)=MIN(D47:D60),50,100*(B60-MIN(D47:D60))/(MAX(C47:C60)-MIN(D47:D60)))</f>
        <v/>
      </c>
      <c r="N60">
        <f>AVERAGE(M58:M60)</f>
        <v/>
      </c>
      <c r="O60">
        <f>IF(ISNUMBER(L60),L60&lt;30,FALSE)</f>
        <v/>
      </c>
      <c r="P60">
        <f>IF(ISNUMBER(N60),N60&lt;20,FALSE)</f>
        <v/>
      </c>
      <c r="Q60">
        <f>FALSE</f>
        <v/>
      </c>
      <c r="R60">
        <f>FALSE</f>
        <v/>
      </c>
      <c r="S60">
        <f>IF(ISNUMBER(G60),B60&lt;G60,FALSE)</f>
        <v/>
      </c>
      <c r="T60">
        <f>OR(O60,P60,Q60,R60,S60)</f>
        <v/>
      </c>
    </row>
    <row r="61">
      <c r="A61">
        <f>IF(Prices!A61="","",Prices!A61)</f>
        <v/>
      </c>
      <c r="B61">
        <f>IF(Prices!E61="","",Prices!E61)</f>
        <v/>
      </c>
      <c r="C61">
        <f>IF(Prices!C61="","",Prices!C61)</f>
        <v/>
      </c>
      <c r="D61">
        <f>IF(Prices!D61="","",Prices!D61)</f>
        <v/>
      </c>
      <c r="E61">
        <f>AVERAGE(B12:B61)</f>
        <v/>
      </c>
      <c r="F61" t="inlineStr"/>
      <c r="G61">
        <f>AVERAGE(B42:B61)-2*STDEV.P(B42:B61)</f>
        <v/>
      </c>
      <c r="H61">
        <f>MAX(B61-B60,0)</f>
        <v/>
      </c>
      <c r="I61">
        <f>MAX(B60-B61,0)</f>
        <v/>
      </c>
      <c r="J61">
        <f>(J60*13+H61)/14</f>
        <v/>
      </c>
      <c r="K61">
        <f>(K60*13+I61)/14</f>
        <v/>
      </c>
      <c r="L61">
        <f>IF(K61=0,100,100-100/(1+J61/K61))</f>
        <v/>
      </c>
      <c r="M61">
        <f>IF(MAX(C48:C61)=MIN(D48:D61),50,100*(B61-MIN(D48:D61))/(MAX(C48:C61)-MIN(D48:D61)))</f>
        <v/>
      </c>
      <c r="N61">
        <f>AVERAGE(M59:M61)</f>
        <v/>
      </c>
      <c r="O61">
        <f>IF(ISNUMBER(L61),L61&lt;30,FALSE)</f>
        <v/>
      </c>
      <c r="P61">
        <f>IF(ISNUMBER(N61),N61&lt;20,FALSE)</f>
        <v/>
      </c>
      <c r="Q61">
        <f>FALSE</f>
        <v/>
      </c>
      <c r="R61">
        <f>FALSE</f>
        <v/>
      </c>
      <c r="S61">
        <f>IF(ISNUMBER(G61),B61&lt;G61,FALSE)</f>
        <v/>
      </c>
      <c r="T61">
        <f>OR(O61,P61,Q61,R61,S61)</f>
        <v/>
      </c>
    </row>
    <row r="62">
      <c r="A62">
        <f>IF(Prices!A62="","",Prices!A62)</f>
        <v/>
      </c>
      <c r="B62">
        <f>IF(Prices!E62="","",Prices!E62)</f>
        <v/>
      </c>
      <c r="C62">
        <f>IF(Prices!C62="","",Prices!C62)</f>
        <v/>
      </c>
      <c r="D62">
        <f>IF(Prices!D62="","",Prices!D62)</f>
        <v/>
      </c>
      <c r="E62">
        <f>AVERAGE(B13:B62)</f>
        <v/>
      </c>
      <c r="F62" t="inlineStr"/>
      <c r="G62">
        <f>AVERAGE(B43:B62)-2*STDEV.P(B43:B62)</f>
        <v/>
      </c>
      <c r="H62">
        <f>MAX(B62-B61,0)</f>
        <v/>
      </c>
      <c r="I62">
        <f>MAX(B61-B62,0)</f>
        <v/>
      </c>
      <c r="J62">
        <f>(J61*13+H62)/14</f>
        <v/>
      </c>
      <c r="K62">
        <f>(K61*13+I62)/14</f>
        <v/>
      </c>
      <c r="L62">
        <f>IF(K62=0,100,100-100/(1+J62/K62))</f>
        <v/>
      </c>
      <c r="M62">
        <f>IF(MAX(C49:C62)=MIN(D49:D62),50,100*(B62-MIN(D49:D62))/(MAX(C49:C62)-MIN(D49:D62)))</f>
        <v/>
      </c>
      <c r="N62">
        <f>AVERAGE(M60:M62)</f>
        <v/>
      </c>
      <c r="O62">
        <f>IF(ISNUMBER(L62),L62&lt;30,FALSE)</f>
        <v/>
      </c>
      <c r="P62">
        <f>IF(ISNUMBER(N62),N62&lt;20,FALSE)</f>
        <v/>
      </c>
      <c r="Q62">
        <f>FALSE</f>
        <v/>
      </c>
      <c r="R62">
        <f>FALSE</f>
        <v/>
      </c>
      <c r="S62">
        <f>IF(ISNUMBER(G62),B62&lt;G62,FALSE)</f>
        <v/>
      </c>
      <c r="T62">
        <f>OR(O62,P62,Q62,R62,S62)</f>
        <v/>
      </c>
    </row>
    <row r="63">
      <c r="A63">
        <f>IF(Prices!A63="","",Prices!A63)</f>
        <v/>
      </c>
      <c r="B63">
        <f>IF(Prices!E63="","",Prices!E63)</f>
        <v/>
      </c>
      <c r="C63">
        <f>IF(Prices!C63="","",Prices!C63)</f>
        <v/>
      </c>
      <c r="D63">
        <f>IF(Prices!D63="","",Prices!D63)</f>
        <v/>
      </c>
      <c r="E63">
        <f>AVERAGE(B14:B63)</f>
        <v/>
      </c>
      <c r="F63" t="inlineStr"/>
      <c r="G63">
        <f>AVERAGE(B44:B63)-2*STDEV.P(B44:B63)</f>
        <v/>
      </c>
      <c r="H63">
        <f>MAX(B63-B62,0)</f>
        <v/>
      </c>
      <c r="I63">
        <f>MAX(B62-B63,0)</f>
        <v/>
      </c>
      <c r="J63">
        <f>(J62*13+H63)/14</f>
        <v/>
      </c>
      <c r="K63">
        <f>(K62*13+I63)/14</f>
        <v/>
      </c>
      <c r="L63">
        <f>IF(K63=0,100,100-100/(1+J63/K63))</f>
        <v/>
      </c>
      <c r="M63">
        <f>IF(MAX(C50:C63)=MIN(D50:D63),50,100*(B63-MIN(D50:D63))/(MAX(C50:C63)-MIN(D50:D63)))</f>
        <v/>
      </c>
      <c r="N63">
        <f>AVERAGE(M61:M63)</f>
        <v/>
      </c>
      <c r="O63">
        <f>IF(ISNUMBER(L63),L63&lt;30,FALSE)</f>
        <v/>
      </c>
      <c r="P63">
        <f>IF(ISNUMBER(N63),N63&lt;20,FALSE)</f>
        <v/>
      </c>
      <c r="Q63">
        <f>FALSE</f>
        <v/>
      </c>
      <c r="R63">
        <f>FALSE</f>
        <v/>
      </c>
      <c r="S63">
        <f>IF(ISNUMBER(G63),B63&lt;G63,FALSE)</f>
        <v/>
      </c>
      <c r="T63">
        <f>OR(O63,P63,Q63,R63,S63)</f>
        <v/>
      </c>
    </row>
    <row r="64">
      <c r="A64">
        <f>IF(Prices!A64="","",Prices!A64)</f>
        <v/>
      </c>
      <c r="B64">
        <f>IF(Prices!E64="","",Prices!E64)</f>
        <v/>
      </c>
      <c r="C64">
        <f>IF(Prices!C64="","",Prices!C64)</f>
        <v/>
      </c>
      <c r="D64">
        <f>IF(Prices!D64="","",Prices!D64)</f>
        <v/>
      </c>
      <c r="E64">
        <f>AVERAGE(B15:B64)</f>
        <v/>
      </c>
      <c r="F64" t="inlineStr"/>
      <c r="G64">
        <f>AVERAGE(B45:B64)-2*STDEV.P(B45:B64)</f>
        <v/>
      </c>
      <c r="H64">
        <f>MAX(B64-B63,0)</f>
        <v/>
      </c>
      <c r="I64">
        <f>MAX(B63-B64,0)</f>
        <v/>
      </c>
      <c r="J64">
        <f>(J63*13+H64)/14</f>
        <v/>
      </c>
      <c r="K64">
        <f>(K63*13+I64)/14</f>
        <v/>
      </c>
      <c r="L64">
        <f>IF(K64=0,100,100-100/(1+J64/K64))</f>
        <v/>
      </c>
      <c r="M64">
        <f>IF(MAX(C51:C64)=MIN(D51:D64),50,100*(B64-MIN(D51:D64))/(MAX(C51:C64)-MIN(D51:D64)))</f>
        <v/>
      </c>
      <c r="N64">
        <f>AVERAGE(M62:M64)</f>
        <v/>
      </c>
      <c r="O64">
        <f>IF(ISNUMBER(L64),L64&lt;30,FALSE)</f>
        <v/>
      </c>
      <c r="P64">
        <f>IF(ISNUMBER(N64),N64&lt;20,FALSE)</f>
        <v/>
      </c>
      <c r="Q64">
        <f>FALSE</f>
        <v/>
      </c>
      <c r="R64">
        <f>FALSE</f>
        <v/>
      </c>
      <c r="S64">
        <f>IF(ISNUMBER(G64),B64&lt;G64,FALSE)</f>
        <v/>
      </c>
      <c r="T64">
        <f>OR(O64,P64,Q64,R64,S64)</f>
        <v/>
      </c>
    </row>
    <row r="65">
      <c r="A65">
        <f>IF(Prices!A65="","",Prices!A65)</f>
        <v/>
      </c>
      <c r="B65">
        <f>IF(Prices!E65="","",Prices!E65)</f>
        <v/>
      </c>
      <c r="C65">
        <f>IF(Prices!C65="","",Prices!C65)</f>
        <v/>
      </c>
      <c r="D65">
        <f>IF(Prices!D65="","",Prices!D65)</f>
        <v/>
      </c>
      <c r="E65">
        <f>AVERAGE(B16:B65)</f>
        <v/>
      </c>
      <c r="F65" t="inlineStr"/>
      <c r="G65">
        <f>AVERAGE(B46:B65)-2*STDEV.P(B46:B65)</f>
        <v/>
      </c>
      <c r="H65">
        <f>MAX(B65-B64,0)</f>
        <v/>
      </c>
      <c r="I65">
        <f>MAX(B64-B65,0)</f>
        <v/>
      </c>
      <c r="J65">
        <f>(J64*13+H65)/14</f>
        <v/>
      </c>
      <c r="K65">
        <f>(K64*13+I65)/14</f>
        <v/>
      </c>
      <c r="L65">
        <f>IF(K65=0,100,100-100/(1+J65/K65))</f>
        <v/>
      </c>
      <c r="M65">
        <f>IF(MAX(C52:C65)=MIN(D52:D65),50,100*(B65-MIN(D52:D65))/(MAX(C52:C65)-MIN(D52:D65)))</f>
        <v/>
      </c>
      <c r="N65">
        <f>AVERAGE(M63:M65)</f>
        <v/>
      </c>
      <c r="O65">
        <f>IF(ISNUMBER(L65),L65&lt;30,FALSE)</f>
        <v/>
      </c>
      <c r="P65">
        <f>IF(ISNUMBER(N65),N65&lt;20,FALSE)</f>
        <v/>
      </c>
      <c r="Q65">
        <f>FALSE</f>
        <v/>
      </c>
      <c r="R65">
        <f>FALSE</f>
        <v/>
      </c>
      <c r="S65">
        <f>IF(ISNUMBER(G65),B65&lt;G65,FALSE)</f>
        <v/>
      </c>
      <c r="T65">
        <f>OR(O65,P65,Q65,R65,S65)</f>
        <v/>
      </c>
    </row>
    <row r="66">
      <c r="A66">
        <f>IF(Prices!A66="","",Prices!A66)</f>
        <v/>
      </c>
      <c r="B66">
        <f>IF(Prices!E66="","",Prices!E66)</f>
        <v/>
      </c>
      <c r="C66">
        <f>IF(Prices!C66="","",Prices!C66)</f>
        <v/>
      </c>
      <c r="D66">
        <f>IF(Prices!D66="","",Prices!D66)</f>
        <v/>
      </c>
      <c r="E66">
        <f>AVERAGE(B17:B66)</f>
        <v/>
      </c>
      <c r="F66" t="inlineStr"/>
      <c r="G66">
        <f>AVERAGE(B47:B66)-2*STDEV.P(B47:B66)</f>
        <v/>
      </c>
      <c r="H66">
        <f>MAX(B66-B65,0)</f>
        <v/>
      </c>
      <c r="I66">
        <f>MAX(B65-B66,0)</f>
        <v/>
      </c>
      <c r="J66">
        <f>(J65*13+H66)/14</f>
        <v/>
      </c>
      <c r="K66">
        <f>(K65*13+I66)/14</f>
        <v/>
      </c>
      <c r="L66">
        <f>IF(K66=0,100,100-100/(1+J66/K66))</f>
        <v/>
      </c>
      <c r="M66">
        <f>IF(MAX(C53:C66)=MIN(D53:D66),50,100*(B66-MIN(D53:D66))/(MAX(C53:C66)-MIN(D53:D66)))</f>
        <v/>
      </c>
      <c r="N66">
        <f>AVERAGE(M64:M66)</f>
        <v/>
      </c>
      <c r="O66">
        <f>IF(ISNUMBER(L66),L66&lt;30,FALSE)</f>
        <v/>
      </c>
      <c r="P66">
        <f>IF(ISNUMBER(N66),N66&lt;20,FALSE)</f>
        <v/>
      </c>
      <c r="Q66">
        <f>FALSE</f>
        <v/>
      </c>
      <c r="R66">
        <f>FALSE</f>
        <v/>
      </c>
      <c r="S66">
        <f>IF(ISNUMBER(G66),B66&lt;G66,FALSE)</f>
        <v/>
      </c>
      <c r="T66">
        <f>OR(O66,P66,Q66,R66,S66)</f>
        <v/>
      </c>
    </row>
    <row r="67">
      <c r="A67">
        <f>IF(Prices!A67="","",Prices!A67)</f>
        <v/>
      </c>
      <c r="B67">
        <f>IF(Prices!E67="","",Prices!E67)</f>
        <v/>
      </c>
      <c r="C67">
        <f>IF(Prices!C67="","",Prices!C67)</f>
        <v/>
      </c>
      <c r="D67">
        <f>IF(Prices!D67="","",Prices!D67)</f>
        <v/>
      </c>
      <c r="E67">
        <f>AVERAGE(B18:B67)</f>
        <v/>
      </c>
      <c r="F67" t="inlineStr"/>
      <c r="G67">
        <f>AVERAGE(B48:B67)-2*STDEV.P(B48:B67)</f>
        <v/>
      </c>
      <c r="H67">
        <f>MAX(B67-B66,0)</f>
        <v/>
      </c>
      <c r="I67">
        <f>MAX(B66-B67,0)</f>
        <v/>
      </c>
      <c r="J67">
        <f>(J66*13+H67)/14</f>
        <v/>
      </c>
      <c r="K67">
        <f>(K66*13+I67)/14</f>
        <v/>
      </c>
      <c r="L67">
        <f>IF(K67=0,100,100-100/(1+J67/K67))</f>
        <v/>
      </c>
      <c r="M67">
        <f>IF(MAX(C54:C67)=MIN(D54:D67),50,100*(B67-MIN(D54:D67))/(MAX(C54:C67)-MIN(D54:D67)))</f>
        <v/>
      </c>
      <c r="N67">
        <f>AVERAGE(M65:M67)</f>
        <v/>
      </c>
      <c r="O67">
        <f>IF(ISNUMBER(L67),L67&lt;30,FALSE)</f>
        <v/>
      </c>
      <c r="P67">
        <f>IF(ISNUMBER(N67),N67&lt;20,FALSE)</f>
        <v/>
      </c>
      <c r="Q67">
        <f>FALSE</f>
        <v/>
      </c>
      <c r="R67">
        <f>FALSE</f>
        <v/>
      </c>
      <c r="S67">
        <f>IF(ISNUMBER(G67),B67&lt;G67,FALSE)</f>
        <v/>
      </c>
      <c r="T67">
        <f>OR(O67,P67,Q67,R67,S67)</f>
        <v/>
      </c>
    </row>
    <row r="68">
      <c r="A68">
        <f>IF(Prices!A68="","",Prices!A68)</f>
        <v/>
      </c>
      <c r="B68">
        <f>IF(Prices!E68="","",Prices!E68)</f>
        <v/>
      </c>
      <c r="C68">
        <f>IF(Prices!C68="","",Prices!C68)</f>
        <v/>
      </c>
      <c r="D68">
        <f>IF(Prices!D68="","",Prices!D68)</f>
        <v/>
      </c>
      <c r="E68">
        <f>AVERAGE(B19:B68)</f>
        <v/>
      </c>
      <c r="F68" t="inlineStr"/>
      <c r="G68">
        <f>AVERAGE(B49:B68)-2*STDEV.P(B49:B68)</f>
        <v/>
      </c>
      <c r="H68">
        <f>MAX(B68-B67,0)</f>
        <v/>
      </c>
      <c r="I68">
        <f>MAX(B67-B68,0)</f>
        <v/>
      </c>
      <c r="J68">
        <f>(J67*13+H68)/14</f>
        <v/>
      </c>
      <c r="K68">
        <f>(K67*13+I68)/14</f>
        <v/>
      </c>
      <c r="L68">
        <f>IF(K68=0,100,100-100/(1+J68/K68))</f>
        <v/>
      </c>
      <c r="M68">
        <f>IF(MAX(C55:C68)=MIN(D55:D68),50,100*(B68-MIN(D55:D68))/(MAX(C55:C68)-MIN(D55:D68)))</f>
        <v/>
      </c>
      <c r="N68">
        <f>AVERAGE(M66:M68)</f>
        <v/>
      </c>
      <c r="O68">
        <f>IF(ISNUMBER(L68),L68&lt;30,FALSE)</f>
        <v/>
      </c>
      <c r="P68">
        <f>IF(ISNUMBER(N68),N68&lt;20,FALSE)</f>
        <v/>
      </c>
      <c r="Q68">
        <f>FALSE</f>
        <v/>
      </c>
      <c r="R68">
        <f>FALSE</f>
        <v/>
      </c>
      <c r="S68">
        <f>IF(ISNUMBER(G68),B68&lt;G68,FALSE)</f>
        <v/>
      </c>
      <c r="T68">
        <f>OR(O68,P68,Q68,R68,S68)</f>
        <v/>
      </c>
    </row>
    <row r="69">
      <c r="A69">
        <f>IF(Prices!A69="","",Prices!A69)</f>
        <v/>
      </c>
      <c r="B69">
        <f>IF(Prices!E69="","",Prices!E69)</f>
        <v/>
      </c>
      <c r="C69">
        <f>IF(Prices!C69="","",Prices!C69)</f>
        <v/>
      </c>
      <c r="D69">
        <f>IF(Prices!D69="","",Prices!D69)</f>
        <v/>
      </c>
      <c r="E69">
        <f>AVERAGE(B20:B69)</f>
        <v/>
      </c>
      <c r="F69" t="inlineStr"/>
      <c r="G69">
        <f>AVERAGE(B50:B69)-2*STDEV.P(B50:B69)</f>
        <v/>
      </c>
      <c r="H69">
        <f>MAX(B69-B68,0)</f>
        <v/>
      </c>
      <c r="I69">
        <f>MAX(B68-B69,0)</f>
        <v/>
      </c>
      <c r="J69">
        <f>(J68*13+H69)/14</f>
        <v/>
      </c>
      <c r="K69">
        <f>(K68*13+I69)/14</f>
        <v/>
      </c>
      <c r="L69">
        <f>IF(K69=0,100,100-100/(1+J69/K69))</f>
        <v/>
      </c>
      <c r="M69">
        <f>IF(MAX(C56:C69)=MIN(D56:D69),50,100*(B69-MIN(D56:D69))/(MAX(C56:C69)-MIN(D56:D69)))</f>
        <v/>
      </c>
      <c r="N69">
        <f>AVERAGE(M67:M69)</f>
        <v/>
      </c>
      <c r="O69">
        <f>IF(ISNUMBER(L69),L69&lt;30,FALSE)</f>
        <v/>
      </c>
      <c r="P69">
        <f>IF(ISNUMBER(N69),N69&lt;20,FALSE)</f>
        <v/>
      </c>
      <c r="Q69">
        <f>FALSE</f>
        <v/>
      </c>
      <c r="R69">
        <f>FALSE</f>
        <v/>
      </c>
      <c r="S69">
        <f>IF(ISNUMBER(G69),B69&lt;G69,FALSE)</f>
        <v/>
      </c>
      <c r="T69">
        <f>OR(O69,P69,Q69,R69,S69)</f>
        <v/>
      </c>
    </row>
    <row r="70">
      <c r="A70">
        <f>IF(Prices!A70="","",Prices!A70)</f>
        <v/>
      </c>
      <c r="B70">
        <f>IF(Prices!E70="","",Prices!E70)</f>
        <v/>
      </c>
      <c r="C70">
        <f>IF(Prices!C70="","",Prices!C70)</f>
        <v/>
      </c>
      <c r="D70">
        <f>IF(Prices!D70="","",Prices!D70)</f>
        <v/>
      </c>
      <c r="E70">
        <f>AVERAGE(B21:B70)</f>
        <v/>
      </c>
      <c r="F70" t="inlineStr"/>
      <c r="G70">
        <f>AVERAGE(B51:B70)-2*STDEV.P(B51:B70)</f>
        <v/>
      </c>
      <c r="H70">
        <f>MAX(B70-B69,0)</f>
        <v/>
      </c>
      <c r="I70">
        <f>MAX(B69-B70,0)</f>
        <v/>
      </c>
      <c r="J70">
        <f>(J69*13+H70)/14</f>
        <v/>
      </c>
      <c r="K70">
        <f>(K69*13+I70)/14</f>
        <v/>
      </c>
      <c r="L70">
        <f>IF(K70=0,100,100-100/(1+J70/K70))</f>
        <v/>
      </c>
      <c r="M70">
        <f>IF(MAX(C57:C70)=MIN(D57:D70),50,100*(B70-MIN(D57:D70))/(MAX(C57:C70)-MIN(D57:D70)))</f>
        <v/>
      </c>
      <c r="N70">
        <f>AVERAGE(M68:M70)</f>
        <v/>
      </c>
      <c r="O70">
        <f>IF(ISNUMBER(L70),L70&lt;30,FALSE)</f>
        <v/>
      </c>
      <c r="P70">
        <f>IF(ISNUMBER(N70),N70&lt;20,FALSE)</f>
        <v/>
      </c>
      <c r="Q70">
        <f>FALSE</f>
        <v/>
      </c>
      <c r="R70">
        <f>FALSE</f>
        <v/>
      </c>
      <c r="S70">
        <f>IF(ISNUMBER(G70),B70&lt;G70,FALSE)</f>
        <v/>
      </c>
      <c r="T70">
        <f>OR(O70,P70,Q70,R70,S70)</f>
        <v/>
      </c>
    </row>
    <row r="71">
      <c r="A71">
        <f>IF(Prices!A71="","",Prices!A71)</f>
        <v/>
      </c>
      <c r="B71">
        <f>IF(Prices!E71="","",Prices!E71)</f>
        <v/>
      </c>
      <c r="C71">
        <f>IF(Prices!C71="","",Prices!C71)</f>
        <v/>
      </c>
      <c r="D71">
        <f>IF(Prices!D71="","",Prices!D71)</f>
        <v/>
      </c>
      <c r="E71">
        <f>AVERAGE(B22:B71)</f>
        <v/>
      </c>
      <c r="F71" t="inlineStr"/>
      <c r="G71">
        <f>AVERAGE(B52:B71)-2*STDEV.P(B52:B71)</f>
        <v/>
      </c>
      <c r="H71">
        <f>MAX(B71-B70,0)</f>
        <v/>
      </c>
      <c r="I71">
        <f>MAX(B70-B71,0)</f>
        <v/>
      </c>
      <c r="J71">
        <f>(J70*13+H71)/14</f>
        <v/>
      </c>
      <c r="K71">
        <f>(K70*13+I71)/14</f>
        <v/>
      </c>
      <c r="L71">
        <f>IF(K71=0,100,100-100/(1+J71/K71))</f>
        <v/>
      </c>
      <c r="M71">
        <f>IF(MAX(C58:C71)=MIN(D58:D71),50,100*(B71-MIN(D58:D71))/(MAX(C58:C71)-MIN(D58:D71)))</f>
        <v/>
      </c>
      <c r="N71">
        <f>AVERAGE(M69:M71)</f>
        <v/>
      </c>
      <c r="O71">
        <f>IF(ISNUMBER(L71),L71&lt;30,FALSE)</f>
        <v/>
      </c>
      <c r="P71">
        <f>IF(ISNUMBER(N71),N71&lt;20,FALSE)</f>
        <v/>
      </c>
      <c r="Q71">
        <f>IF(AND(ISNUMBER(E51),ISNUMBER(E71)),AND(E71&gt;E51,B71&lt;=E71*1.01,B70&gt;E70*1.01),FALSE)</f>
        <v/>
      </c>
      <c r="R71">
        <f>FALSE</f>
        <v/>
      </c>
      <c r="S71">
        <f>IF(ISNUMBER(G71),B71&lt;G71,FALSE)</f>
        <v/>
      </c>
      <c r="T71">
        <f>OR(O71,P71,Q71,R71,S71)</f>
        <v/>
      </c>
    </row>
    <row r="72">
      <c r="A72">
        <f>IF(Prices!A72="","",Prices!A72)</f>
        <v/>
      </c>
      <c r="B72">
        <f>IF(Prices!E72="","",Prices!E72)</f>
        <v/>
      </c>
      <c r="C72">
        <f>IF(Prices!C72="","",Prices!C72)</f>
        <v/>
      </c>
      <c r="D72">
        <f>IF(Prices!D72="","",Prices!D72)</f>
        <v/>
      </c>
      <c r="E72">
        <f>AVERAGE(B23:B72)</f>
        <v/>
      </c>
      <c r="F72" t="inlineStr"/>
      <c r="G72">
        <f>AVERAGE(B53:B72)-2*STDEV.P(B53:B72)</f>
        <v/>
      </c>
      <c r="H72">
        <f>MAX(B72-B71,0)</f>
        <v/>
      </c>
      <c r="I72">
        <f>MAX(B71-B72,0)</f>
        <v/>
      </c>
      <c r="J72">
        <f>(J71*13+H72)/14</f>
        <v/>
      </c>
      <c r="K72">
        <f>(K71*13+I72)/14</f>
        <v/>
      </c>
      <c r="L72">
        <f>IF(K72=0,100,100-100/(1+J72/K72))</f>
        <v/>
      </c>
      <c r="M72">
        <f>IF(MAX(C59:C72)=MIN(D59:D72),50,100*(B72-MIN(D59:D72))/(MAX(C59:C72)-MIN(D59:D72)))</f>
        <v/>
      </c>
      <c r="N72">
        <f>AVERAGE(M70:M72)</f>
        <v/>
      </c>
      <c r="O72">
        <f>IF(ISNUMBER(L72),L72&lt;30,FALSE)</f>
        <v/>
      </c>
      <c r="P72">
        <f>IF(ISNUMBER(N72),N72&lt;20,FALSE)</f>
        <v/>
      </c>
      <c r="Q72">
        <f>IF(AND(ISNUMBER(E52),ISNUMBER(E72)),AND(E72&gt;E52,B72&lt;=E72*1.01,B71&gt;E71*1.01),FALSE)</f>
        <v/>
      </c>
      <c r="R72">
        <f>FALSE</f>
        <v/>
      </c>
      <c r="S72">
        <f>IF(ISNUMBER(G72),B72&lt;G72,FALSE)</f>
        <v/>
      </c>
      <c r="T72">
        <f>OR(O72,P72,Q72,R72,S72)</f>
        <v/>
      </c>
    </row>
    <row r="73">
      <c r="A73">
        <f>IF(Prices!A73="","",Prices!A73)</f>
        <v/>
      </c>
      <c r="B73">
        <f>IF(Prices!E73="","",Prices!E73)</f>
        <v/>
      </c>
      <c r="C73">
        <f>IF(Prices!C73="","",Prices!C73)</f>
        <v/>
      </c>
      <c r="D73">
        <f>IF(Prices!D73="","",Prices!D73)</f>
        <v/>
      </c>
      <c r="E73">
        <f>AVERAGE(B24:B73)</f>
        <v/>
      </c>
      <c r="F73" t="inlineStr"/>
      <c r="G73">
        <f>AVERAGE(B54:B73)-2*STDEV.P(B54:B73)</f>
        <v/>
      </c>
      <c r="H73">
        <f>MAX(B73-B72,0)</f>
        <v/>
      </c>
      <c r="I73">
        <f>MAX(B72-B73,0)</f>
        <v/>
      </c>
      <c r="J73">
        <f>(J72*13+H73)/14</f>
        <v/>
      </c>
      <c r="K73">
        <f>(K72*13+I73)/14</f>
        <v/>
      </c>
      <c r="L73">
        <f>IF(K73=0,100,100-100/(1+J73/K73))</f>
        <v/>
      </c>
      <c r="M73">
        <f>IF(MAX(C60:C73)=MIN(D60:D73),50,100*(B73-MIN(D60:D73))/(MAX(C60:C73)-MIN(D60:D73)))</f>
        <v/>
      </c>
      <c r="N73">
        <f>AVERAGE(M71:M73)</f>
        <v/>
      </c>
      <c r="O73">
        <f>IF(ISNUMBER(L73),L73&lt;30,FALSE)</f>
        <v/>
      </c>
      <c r="P73">
        <f>IF(ISNUMBER(N73),N73&lt;20,FALSE)</f>
        <v/>
      </c>
      <c r="Q73">
        <f>IF(AND(ISNUMBER(E53),ISNUMBER(E73)),AND(E73&gt;E53,B73&lt;=E73*1.01,B72&gt;E72*1.01),FALSE)</f>
        <v/>
      </c>
      <c r="R73">
        <f>FALSE</f>
        <v/>
      </c>
      <c r="S73">
        <f>IF(ISNUMBER(G73),B73&lt;G73,FALSE)</f>
        <v/>
      </c>
      <c r="T73">
        <f>OR(O73,P73,Q73,R73,S73)</f>
        <v/>
      </c>
    </row>
    <row r="74">
      <c r="A74">
        <f>IF(Prices!A74="","",Prices!A74)</f>
        <v/>
      </c>
      <c r="B74">
        <f>IF(Prices!E74="","",Prices!E74)</f>
        <v/>
      </c>
      <c r="C74">
        <f>IF(Prices!C74="","",Prices!C74)</f>
        <v/>
      </c>
      <c r="D74">
        <f>IF(Prices!D74="","",Prices!D74)</f>
        <v/>
      </c>
      <c r="E74">
        <f>AVERAGE(B25:B74)</f>
        <v/>
      </c>
      <c r="F74" t="inlineStr"/>
      <c r="G74">
        <f>AVERAGE(B55:B74)-2*STDEV.P(B55:B74)</f>
        <v/>
      </c>
      <c r="H74">
        <f>MAX(B74-B73,0)</f>
        <v/>
      </c>
      <c r="I74">
        <f>MAX(B73-B74,0)</f>
        <v/>
      </c>
      <c r="J74">
        <f>(J73*13+H74)/14</f>
        <v/>
      </c>
      <c r="K74">
        <f>(K73*13+I74)/14</f>
        <v/>
      </c>
      <c r="L74">
        <f>IF(K74=0,100,100-100/(1+J74/K74))</f>
        <v/>
      </c>
      <c r="M74">
        <f>IF(MAX(C61:C74)=MIN(D61:D74),50,100*(B74-MIN(D61:D74))/(MAX(C61:C74)-MIN(D61:D74)))</f>
        <v/>
      </c>
      <c r="N74">
        <f>AVERAGE(M72:M74)</f>
        <v/>
      </c>
      <c r="O74">
        <f>IF(ISNUMBER(L74),L74&lt;30,FALSE)</f>
        <v/>
      </c>
      <c r="P74">
        <f>IF(ISNUMBER(N74),N74&lt;20,FALSE)</f>
        <v/>
      </c>
      <c r="Q74">
        <f>IF(AND(ISNUMBER(E54),ISNUMBER(E74)),AND(E74&gt;E54,B74&lt;=E74*1.01,B73&gt;E73*1.01),FALSE)</f>
        <v/>
      </c>
      <c r="R74">
        <f>FALSE</f>
        <v/>
      </c>
      <c r="S74">
        <f>IF(ISNUMBER(G74),B74&lt;G74,FALSE)</f>
        <v/>
      </c>
      <c r="T74">
        <f>OR(O74,P74,Q74,R74,S74)</f>
        <v/>
      </c>
    </row>
    <row r="75">
      <c r="A75">
        <f>IF(Prices!A75="","",Prices!A75)</f>
        <v/>
      </c>
      <c r="B75">
        <f>IF(Prices!E75="","",Prices!E75)</f>
        <v/>
      </c>
      <c r="C75">
        <f>IF(Prices!C75="","",Prices!C75)</f>
        <v/>
      </c>
      <c r="D75">
        <f>IF(Prices!D75="","",Prices!D75)</f>
        <v/>
      </c>
      <c r="E75">
        <f>AVERAGE(B26:B75)</f>
        <v/>
      </c>
      <c r="F75" t="inlineStr"/>
      <c r="G75">
        <f>AVERAGE(B56:B75)-2*STDEV.P(B56:B75)</f>
        <v/>
      </c>
      <c r="H75">
        <f>MAX(B75-B74,0)</f>
        <v/>
      </c>
      <c r="I75">
        <f>MAX(B74-B75,0)</f>
        <v/>
      </c>
      <c r="J75">
        <f>(J74*13+H75)/14</f>
        <v/>
      </c>
      <c r="K75">
        <f>(K74*13+I75)/14</f>
        <v/>
      </c>
      <c r="L75">
        <f>IF(K75=0,100,100-100/(1+J75/K75))</f>
        <v/>
      </c>
      <c r="M75">
        <f>IF(MAX(C62:C75)=MIN(D62:D75),50,100*(B75-MIN(D62:D75))/(MAX(C62:C75)-MIN(D62:D75)))</f>
        <v/>
      </c>
      <c r="N75">
        <f>AVERAGE(M73:M75)</f>
        <v/>
      </c>
      <c r="O75">
        <f>IF(ISNUMBER(L75),L75&lt;30,FALSE)</f>
        <v/>
      </c>
      <c r="P75">
        <f>IF(ISNUMBER(N75),N75&lt;20,FALSE)</f>
        <v/>
      </c>
      <c r="Q75">
        <f>IF(AND(ISNUMBER(E55),ISNUMBER(E75)),AND(E75&gt;E55,B75&lt;=E75*1.01,B74&gt;E74*1.01),FALSE)</f>
        <v/>
      </c>
      <c r="R75">
        <f>FALSE</f>
        <v/>
      </c>
      <c r="S75">
        <f>IF(ISNUMBER(G75),B75&lt;G75,FALSE)</f>
        <v/>
      </c>
      <c r="T75">
        <f>OR(O75,P75,Q75,R75,S75)</f>
        <v/>
      </c>
    </row>
    <row r="76">
      <c r="A76">
        <f>IF(Prices!A76="","",Prices!A76)</f>
        <v/>
      </c>
      <c r="B76">
        <f>IF(Prices!E76="","",Prices!E76)</f>
        <v/>
      </c>
      <c r="C76">
        <f>IF(Prices!C76="","",Prices!C76)</f>
        <v/>
      </c>
      <c r="D76">
        <f>IF(Prices!D76="","",Prices!D76)</f>
        <v/>
      </c>
      <c r="E76">
        <f>AVERAGE(B27:B76)</f>
        <v/>
      </c>
      <c r="F76" t="inlineStr"/>
      <c r="G76">
        <f>AVERAGE(B57:B76)-2*STDEV.P(B57:B76)</f>
        <v/>
      </c>
      <c r="H76">
        <f>MAX(B76-B75,0)</f>
        <v/>
      </c>
      <c r="I76">
        <f>MAX(B75-B76,0)</f>
        <v/>
      </c>
      <c r="J76">
        <f>(J75*13+H76)/14</f>
        <v/>
      </c>
      <c r="K76">
        <f>(K75*13+I76)/14</f>
        <v/>
      </c>
      <c r="L76">
        <f>IF(K76=0,100,100-100/(1+J76/K76))</f>
        <v/>
      </c>
      <c r="M76">
        <f>IF(MAX(C63:C76)=MIN(D63:D76),50,100*(B76-MIN(D63:D76))/(MAX(C63:C76)-MIN(D63:D76)))</f>
        <v/>
      </c>
      <c r="N76">
        <f>AVERAGE(M74:M76)</f>
        <v/>
      </c>
      <c r="O76">
        <f>IF(ISNUMBER(L76),L76&lt;30,FALSE)</f>
        <v/>
      </c>
      <c r="P76">
        <f>IF(ISNUMBER(N76),N76&lt;20,FALSE)</f>
        <v/>
      </c>
      <c r="Q76">
        <f>IF(AND(ISNUMBER(E56),ISNUMBER(E76)),AND(E76&gt;E56,B76&lt;=E76*1.01,B75&gt;E75*1.01),FALSE)</f>
        <v/>
      </c>
      <c r="R76">
        <f>FALSE</f>
        <v/>
      </c>
      <c r="S76">
        <f>IF(ISNUMBER(G76),B76&lt;G76,FALSE)</f>
        <v/>
      </c>
      <c r="T76">
        <f>OR(O76,P76,Q76,R76,S76)</f>
        <v/>
      </c>
    </row>
    <row r="77">
      <c r="A77">
        <f>IF(Prices!A77="","",Prices!A77)</f>
        <v/>
      </c>
      <c r="B77">
        <f>IF(Prices!E77="","",Prices!E77)</f>
        <v/>
      </c>
      <c r="C77">
        <f>IF(Prices!C77="","",Prices!C77)</f>
        <v/>
      </c>
      <c r="D77">
        <f>IF(Prices!D77="","",Prices!D77)</f>
        <v/>
      </c>
      <c r="E77">
        <f>AVERAGE(B28:B77)</f>
        <v/>
      </c>
      <c r="F77" t="inlineStr"/>
      <c r="G77">
        <f>AVERAGE(B58:B77)-2*STDEV.P(B58:B77)</f>
        <v/>
      </c>
      <c r="H77">
        <f>MAX(B77-B76,0)</f>
        <v/>
      </c>
      <c r="I77">
        <f>MAX(B76-B77,0)</f>
        <v/>
      </c>
      <c r="J77">
        <f>(J76*13+H77)/14</f>
        <v/>
      </c>
      <c r="K77">
        <f>(K76*13+I77)/14</f>
        <v/>
      </c>
      <c r="L77">
        <f>IF(K77=0,100,100-100/(1+J77/K77))</f>
        <v/>
      </c>
      <c r="M77">
        <f>IF(MAX(C64:C77)=MIN(D64:D77),50,100*(B77-MIN(D64:D77))/(MAX(C64:C77)-MIN(D64:D77)))</f>
        <v/>
      </c>
      <c r="N77">
        <f>AVERAGE(M75:M77)</f>
        <v/>
      </c>
      <c r="O77">
        <f>IF(ISNUMBER(L77),L77&lt;30,FALSE)</f>
        <v/>
      </c>
      <c r="P77">
        <f>IF(ISNUMBER(N77),N77&lt;20,FALSE)</f>
        <v/>
      </c>
      <c r="Q77">
        <f>IF(AND(ISNUMBER(E57),ISNUMBER(E77)),AND(E77&gt;E57,B77&lt;=E77*1.01,B76&gt;E76*1.01),FALSE)</f>
        <v/>
      </c>
      <c r="R77">
        <f>FALSE</f>
        <v/>
      </c>
      <c r="S77">
        <f>IF(ISNUMBER(G77),B77&lt;G77,FALSE)</f>
        <v/>
      </c>
      <c r="T77">
        <f>OR(O77,P77,Q77,R77,S77)</f>
        <v/>
      </c>
    </row>
    <row r="78">
      <c r="A78">
        <f>IF(Prices!A78="","",Prices!A78)</f>
        <v/>
      </c>
      <c r="B78">
        <f>IF(Prices!E78="","",Prices!E78)</f>
        <v/>
      </c>
      <c r="C78">
        <f>IF(Prices!C78="","",Prices!C78)</f>
        <v/>
      </c>
      <c r="D78">
        <f>IF(Prices!D78="","",Prices!D78)</f>
        <v/>
      </c>
      <c r="E78">
        <f>AVERAGE(B29:B78)</f>
        <v/>
      </c>
      <c r="F78" t="inlineStr"/>
      <c r="G78">
        <f>AVERAGE(B59:B78)-2*STDEV.P(B59:B78)</f>
        <v/>
      </c>
      <c r="H78">
        <f>MAX(B78-B77,0)</f>
        <v/>
      </c>
      <c r="I78">
        <f>MAX(B77-B78,0)</f>
        <v/>
      </c>
      <c r="J78">
        <f>(J77*13+H78)/14</f>
        <v/>
      </c>
      <c r="K78">
        <f>(K77*13+I78)/14</f>
        <v/>
      </c>
      <c r="L78">
        <f>IF(K78=0,100,100-100/(1+J78/K78))</f>
        <v/>
      </c>
      <c r="M78">
        <f>IF(MAX(C65:C78)=MIN(D65:D78),50,100*(B78-MIN(D65:D78))/(MAX(C65:C78)-MIN(D65:D78)))</f>
        <v/>
      </c>
      <c r="N78">
        <f>AVERAGE(M76:M78)</f>
        <v/>
      </c>
      <c r="O78">
        <f>IF(ISNUMBER(L78),L78&lt;30,FALSE)</f>
        <v/>
      </c>
      <c r="P78">
        <f>IF(ISNUMBER(N78),N78&lt;20,FALSE)</f>
        <v/>
      </c>
      <c r="Q78">
        <f>IF(AND(ISNUMBER(E58),ISNUMBER(E78)),AND(E78&gt;E58,B78&lt;=E78*1.01,B77&gt;E77*1.01),FALSE)</f>
        <v/>
      </c>
      <c r="R78">
        <f>FALSE</f>
        <v/>
      </c>
      <c r="S78">
        <f>IF(ISNUMBER(G78),B78&lt;G78,FALSE)</f>
        <v/>
      </c>
      <c r="T78">
        <f>OR(O78,P78,Q78,R78,S78)</f>
        <v/>
      </c>
    </row>
    <row r="79">
      <c r="A79">
        <f>IF(Prices!A79="","",Prices!A79)</f>
        <v/>
      </c>
      <c r="B79">
        <f>IF(Prices!E79="","",Prices!E79)</f>
        <v/>
      </c>
      <c r="C79">
        <f>IF(Prices!C79="","",Prices!C79)</f>
        <v/>
      </c>
      <c r="D79">
        <f>IF(Prices!D79="","",Prices!D79)</f>
        <v/>
      </c>
      <c r="E79">
        <f>AVERAGE(B30:B79)</f>
        <v/>
      </c>
      <c r="F79" t="inlineStr"/>
      <c r="G79">
        <f>AVERAGE(B60:B79)-2*STDEV.P(B60:B79)</f>
        <v/>
      </c>
      <c r="H79">
        <f>MAX(B79-B78,0)</f>
        <v/>
      </c>
      <c r="I79">
        <f>MAX(B78-B79,0)</f>
        <v/>
      </c>
      <c r="J79">
        <f>(J78*13+H79)/14</f>
        <v/>
      </c>
      <c r="K79">
        <f>(K78*13+I79)/14</f>
        <v/>
      </c>
      <c r="L79">
        <f>IF(K79=0,100,100-100/(1+J79/K79))</f>
        <v/>
      </c>
      <c r="M79">
        <f>IF(MAX(C66:C79)=MIN(D66:D79),50,100*(B79-MIN(D66:D79))/(MAX(C66:C79)-MIN(D66:D79)))</f>
        <v/>
      </c>
      <c r="N79">
        <f>AVERAGE(M77:M79)</f>
        <v/>
      </c>
      <c r="O79">
        <f>IF(ISNUMBER(L79),L79&lt;30,FALSE)</f>
        <v/>
      </c>
      <c r="P79">
        <f>IF(ISNUMBER(N79),N79&lt;20,FALSE)</f>
        <v/>
      </c>
      <c r="Q79">
        <f>IF(AND(ISNUMBER(E59),ISNUMBER(E79)),AND(E79&gt;E59,B79&lt;=E79*1.01,B78&gt;E78*1.01),FALSE)</f>
        <v/>
      </c>
      <c r="R79">
        <f>FALSE</f>
        <v/>
      </c>
      <c r="S79">
        <f>IF(ISNUMBER(G79),B79&lt;G79,FALSE)</f>
        <v/>
      </c>
      <c r="T79">
        <f>OR(O79,P79,Q79,R79,S79)</f>
        <v/>
      </c>
    </row>
    <row r="80">
      <c r="A80">
        <f>IF(Prices!A80="","",Prices!A80)</f>
        <v/>
      </c>
      <c r="B80">
        <f>IF(Prices!E80="","",Prices!E80)</f>
        <v/>
      </c>
      <c r="C80">
        <f>IF(Prices!C80="","",Prices!C80)</f>
        <v/>
      </c>
      <c r="D80">
        <f>IF(Prices!D80="","",Prices!D80)</f>
        <v/>
      </c>
      <c r="E80">
        <f>AVERAGE(B31:B80)</f>
        <v/>
      </c>
      <c r="F80" t="inlineStr"/>
      <c r="G80">
        <f>AVERAGE(B61:B80)-2*STDEV.P(B61:B80)</f>
        <v/>
      </c>
      <c r="H80">
        <f>MAX(B80-B79,0)</f>
        <v/>
      </c>
      <c r="I80">
        <f>MAX(B79-B80,0)</f>
        <v/>
      </c>
      <c r="J80">
        <f>(J79*13+H80)/14</f>
        <v/>
      </c>
      <c r="K80">
        <f>(K79*13+I80)/14</f>
        <v/>
      </c>
      <c r="L80">
        <f>IF(K80=0,100,100-100/(1+J80/K80))</f>
        <v/>
      </c>
      <c r="M80">
        <f>IF(MAX(C67:C80)=MIN(D67:D80),50,100*(B80-MIN(D67:D80))/(MAX(C67:C80)-MIN(D67:D80)))</f>
        <v/>
      </c>
      <c r="N80">
        <f>AVERAGE(M78:M80)</f>
        <v/>
      </c>
      <c r="O80">
        <f>IF(ISNUMBER(L80),L80&lt;30,FALSE)</f>
        <v/>
      </c>
      <c r="P80">
        <f>IF(ISNUMBER(N80),N80&lt;20,FALSE)</f>
        <v/>
      </c>
      <c r="Q80">
        <f>IF(AND(ISNUMBER(E60),ISNUMBER(E80)),AND(E80&gt;E60,B80&lt;=E80*1.01,B79&gt;E79*1.01),FALSE)</f>
        <v/>
      </c>
      <c r="R80">
        <f>FALSE</f>
        <v/>
      </c>
      <c r="S80">
        <f>IF(ISNUMBER(G80),B80&lt;G80,FALSE)</f>
        <v/>
      </c>
      <c r="T80">
        <f>OR(O80,P80,Q80,R80,S80)</f>
        <v/>
      </c>
    </row>
    <row r="81">
      <c r="A81">
        <f>IF(Prices!A81="","",Prices!A81)</f>
        <v/>
      </c>
      <c r="B81">
        <f>IF(Prices!E81="","",Prices!E81)</f>
        <v/>
      </c>
      <c r="C81">
        <f>IF(Prices!C81="","",Prices!C81)</f>
        <v/>
      </c>
      <c r="D81">
        <f>IF(Prices!D81="","",Prices!D81)</f>
        <v/>
      </c>
      <c r="E81">
        <f>AVERAGE(B32:B81)</f>
        <v/>
      </c>
      <c r="F81" t="inlineStr"/>
      <c r="G81">
        <f>AVERAGE(B62:B81)-2*STDEV.P(B62:B81)</f>
        <v/>
      </c>
      <c r="H81">
        <f>MAX(B81-B80,0)</f>
        <v/>
      </c>
      <c r="I81">
        <f>MAX(B80-B81,0)</f>
        <v/>
      </c>
      <c r="J81">
        <f>(J80*13+H81)/14</f>
        <v/>
      </c>
      <c r="K81">
        <f>(K80*13+I81)/14</f>
        <v/>
      </c>
      <c r="L81">
        <f>IF(K81=0,100,100-100/(1+J81/K81))</f>
        <v/>
      </c>
      <c r="M81">
        <f>IF(MAX(C68:C81)=MIN(D68:D81),50,100*(B81-MIN(D68:D81))/(MAX(C68:C81)-MIN(D68:D81)))</f>
        <v/>
      </c>
      <c r="N81">
        <f>AVERAGE(M79:M81)</f>
        <v/>
      </c>
      <c r="O81">
        <f>IF(ISNUMBER(L81),L81&lt;30,FALSE)</f>
        <v/>
      </c>
      <c r="P81">
        <f>IF(ISNUMBER(N81),N81&lt;20,FALSE)</f>
        <v/>
      </c>
      <c r="Q81">
        <f>IF(AND(ISNUMBER(E61),ISNUMBER(E81)),AND(E81&gt;E61,B81&lt;=E81*1.01,B80&gt;E80*1.01),FALSE)</f>
        <v/>
      </c>
      <c r="R81">
        <f>FALSE</f>
        <v/>
      </c>
      <c r="S81">
        <f>IF(ISNUMBER(G81),B81&lt;G81,FALSE)</f>
        <v/>
      </c>
      <c r="T81">
        <f>OR(O81,P81,Q81,R81,S81)</f>
        <v/>
      </c>
    </row>
    <row r="82">
      <c r="A82">
        <f>IF(Prices!A82="","",Prices!A82)</f>
        <v/>
      </c>
      <c r="B82">
        <f>IF(Prices!E82="","",Prices!E82)</f>
        <v/>
      </c>
      <c r="C82">
        <f>IF(Prices!C82="","",Prices!C82)</f>
        <v/>
      </c>
      <c r="D82">
        <f>IF(Prices!D82="","",Prices!D82)</f>
        <v/>
      </c>
      <c r="E82">
        <f>AVERAGE(B33:B82)</f>
        <v/>
      </c>
      <c r="F82" t="inlineStr"/>
      <c r="G82">
        <f>AVERAGE(B63:B82)-2*STDEV.P(B63:B82)</f>
        <v/>
      </c>
      <c r="H82">
        <f>MAX(B82-B81,0)</f>
        <v/>
      </c>
      <c r="I82">
        <f>MAX(B81-B82,0)</f>
        <v/>
      </c>
      <c r="J82">
        <f>(J81*13+H82)/14</f>
        <v/>
      </c>
      <c r="K82">
        <f>(K81*13+I82)/14</f>
        <v/>
      </c>
      <c r="L82">
        <f>IF(K82=0,100,100-100/(1+J82/K82))</f>
        <v/>
      </c>
      <c r="M82">
        <f>IF(MAX(C69:C82)=MIN(D69:D82),50,100*(B82-MIN(D69:D82))/(MAX(C69:C82)-MIN(D69:D82)))</f>
        <v/>
      </c>
      <c r="N82">
        <f>AVERAGE(M80:M82)</f>
        <v/>
      </c>
      <c r="O82">
        <f>IF(ISNUMBER(L82),L82&lt;30,FALSE)</f>
        <v/>
      </c>
      <c r="P82">
        <f>IF(ISNUMBER(N82),N82&lt;20,FALSE)</f>
        <v/>
      </c>
      <c r="Q82">
        <f>IF(AND(ISNUMBER(E62),ISNUMBER(E82)),AND(E82&gt;E62,B82&lt;=E82*1.01,B81&gt;E81*1.01),FALSE)</f>
        <v/>
      </c>
      <c r="R82">
        <f>FALSE</f>
        <v/>
      </c>
      <c r="S82">
        <f>IF(ISNUMBER(G82),B82&lt;G82,FALSE)</f>
        <v/>
      </c>
      <c r="T82">
        <f>OR(O82,P82,Q82,R82,S82)</f>
        <v/>
      </c>
    </row>
    <row r="83">
      <c r="A83">
        <f>IF(Prices!A83="","",Prices!A83)</f>
        <v/>
      </c>
      <c r="B83">
        <f>IF(Prices!E83="","",Prices!E83)</f>
        <v/>
      </c>
      <c r="C83">
        <f>IF(Prices!C83="","",Prices!C83)</f>
        <v/>
      </c>
      <c r="D83">
        <f>IF(Prices!D83="","",Prices!D83)</f>
        <v/>
      </c>
      <c r="E83">
        <f>AVERAGE(B34:B83)</f>
        <v/>
      </c>
      <c r="F83" t="inlineStr"/>
      <c r="G83">
        <f>AVERAGE(B64:B83)-2*STDEV.P(B64:B83)</f>
        <v/>
      </c>
      <c r="H83">
        <f>MAX(B83-B82,0)</f>
        <v/>
      </c>
      <c r="I83">
        <f>MAX(B82-B83,0)</f>
        <v/>
      </c>
      <c r="J83">
        <f>(J82*13+H83)/14</f>
        <v/>
      </c>
      <c r="K83">
        <f>(K82*13+I83)/14</f>
        <v/>
      </c>
      <c r="L83">
        <f>IF(K83=0,100,100-100/(1+J83/K83))</f>
        <v/>
      </c>
      <c r="M83">
        <f>IF(MAX(C70:C83)=MIN(D70:D83),50,100*(B83-MIN(D70:D83))/(MAX(C70:C83)-MIN(D70:D83)))</f>
        <v/>
      </c>
      <c r="N83">
        <f>AVERAGE(M81:M83)</f>
        <v/>
      </c>
      <c r="O83">
        <f>IF(ISNUMBER(L83),L83&lt;30,FALSE)</f>
        <v/>
      </c>
      <c r="P83">
        <f>IF(ISNUMBER(N83),N83&lt;20,FALSE)</f>
        <v/>
      </c>
      <c r="Q83">
        <f>IF(AND(ISNUMBER(E63),ISNUMBER(E83)),AND(E83&gt;E63,B83&lt;=E83*1.01,B82&gt;E82*1.01),FALSE)</f>
        <v/>
      </c>
      <c r="R83">
        <f>FALSE</f>
        <v/>
      </c>
      <c r="S83">
        <f>IF(ISNUMBER(G83),B83&lt;G83,FALSE)</f>
        <v/>
      </c>
      <c r="T83">
        <f>OR(O83,P83,Q83,R83,S83)</f>
        <v/>
      </c>
    </row>
    <row r="84">
      <c r="A84">
        <f>IF(Prices!A84="","",Prices!A84)</f>
        <v/>
      </c>
      <c r="B84">
        <f>IF(Prices!E84="","",Prices!E84)</f>
        <v/>
      </c>
      <c r="C84">
        <f>IF(Prices!C84="","",Prices!C84)</f>
        <v/>
      </c>
      <c r="D84">
        <f>IF(Prices!D84="","",Prices!D84)</f>
        <v/>
      </c>
      <c r="E84">
        <f>AVERAGE(B35:B84)</f>
        <v/>
      </c>
      <c r="F84" t="inlineStr"/>
      <c r="G84">
        <f>AVERAGE(B65:B84)-2*STDEV.P(B65:B84)</f>
        <v/>
      </c>
      <c r="H84">
        <f>MAX(B84-B83,0)</f>
        <v/>
      </c>
      <c r="I84">
        <f>MAX(B83-B84,0)</f>
        <v/>
      </c>
      <c r="J84">
        <f>(J83*13+H84)/14</f>
        <v/>
      </c>
      <c r="K84">
        <f>(K83*13+I84)/14</f>
        <v/>
      </c>
      <c r="L84">
        <f>IF(K84=0,100,100-100/(1+J84/K84))</f>
        <v/>
      </c>
      <c r="M84">
        <f>IF(MAX(C71:C84)=MIN(D71:D84),50,100*(B84-MIN(D71:D84))/(MAX(C71:C84)-MIN(D71:D84)))</f>
        <v/>
      </c>
      <c r="N84">
        <f>AVERAGE(M82:M84)</f>
        <v/>
      </c>
      <c r="O84">
        <f>IF(ISNUMBER(L84),L84&lt;30,FALSE)</f>
        <v/>
      </c>
      <c r="P84">
        <f>IF(ISNUMBER(N84),N84&lt;20,FALSE)</f>
        <v/>
      </c>
      <c r="Q84">
        <f>IF(AND(ISNUMBER(E64),ISNUMBER(E84)),AND(E84&gt;E64,B84&lt;=E84*1.01,B83&gt;E83*1.01),FALSE)</f>
        <v/>
      </c>
      <c r="R84">
        <f>FALSE</f>
        <v/>
      </c>
      <c r="S84">
        <f>IF(ISNUMBER(G84),B84&lt;G84,FALSE)</f>
        <v/>
      </c>
      <c r="T84">
        <f>OR(O84,P84,Q84,R84,S84)</f>
        <v/>
      </c>
    </row>
    <row r="85">
      <c r="A85">
        <f>IF(Prices!A85="","",Prices!A85)</f>
        <v/>
      </c>
      <c r="B85">
        <f>IF(Prices!E85="","",Prices!E85)</f>
        <v/>
      </c>
      <c r="C85">
        <f>IF(Prices!C85="","",Prices!C85)</f>
        <v/>
      </c>
      <c r="D85">
        <f>IF(Prices!D85="","",Prices!D85)</f>
        <v/>
      </c>
      <c r="E85">
        <f>AVERAGE(B36:B85)</f>
        <v/>
      </c>
      <c r="F85" t="inlineStr"/>
      <c r="G85">
        <f>AVERAGE(B66:B85)-2*STDEV.P(B66:B85)</f>
        <v/>
      </c>
      <c r="H85">
        <f>MAX(B85-B84,0)</f>
        <v/>
      </c>
      <c r="I85">
        <f>MAX(B84-B85,0)</f>
        <v/>
      </c>
      <c r="J85">
        <f>(J84*13+H85)/14</f>
        <v/>
      </c>
      <c r="K85">
        <f>(K84*13+I85)/14</f>
        <v/>
      </c>
      <c r="L85">
        <f>IF(K85=0,100,100-100/(1+J85/K85))</f>
        <v/>
      </c>
      <c r="M85">
        <f>IF(MAX(C72:C85)=MIN(D72:D85),50,100*(B85-MIN(D72:D85))/(MAX(C72:C85)-MIN(D72:D85)))</f>
        <v/>
      </c>
      <c r="N85">
        <f>AVERAGE(M83:M85)</f>
        <v/>
      </c>
      <c r="O85">
        <f>IF(ISNUMBER(L85),L85&lt;30,FALSE)</f>
        <v/>
      </c>
      <c r="P85">
        <f>IF(ISNUMBER(N85),N85&lt;20,FALSE)</f>
        <v/>
      </c>
      <c r="Q85">
        <f>IF(AND(ISNUMBER(E65),ISNUMBER(E85)),AND(E85&gt;E65,B85&lt;=E85*1.01,B84&gt;E84*1.01),FALSE)</f>
        <v/>
      </c>
      <c r="R85">
        <f>FALSE</f>
        <v/>
      </c>
      <c r="S85">
        <f>IF(ISNUMBER(G85),B85&lt;G85,FALSE)</f>
        <v/>
      </c>
      <c r="T85">
        <f>OR(O85,P85,Q85,R85,S85)</f>
        <v/>
      </c>
    </row>
    <row r="86">
      <c r="A86">
        <f>IF(Prices!A86="","",Prices!A86)</f>
        <v/>
      </c>
      <c r="B86">
        <f>IF(Prices!E86="","",Prices!E86)</f>
        <v/>
      </c>
      <c r="C86">
        <f>IF(Prices!C86="","",Prices!C86)</f>
        <v/>
      </c>
      <c r="D86">
        <f>IF(Prices!D86="","",Prices!D86)</f>
        <v/>
      </c>
      <c r="E86">
        <f>AVERAGE(B37:B86)</f>
        <v/>
      </c>
      <c r="F86" t="inlineStr"/>
      <c r="G86">
        <f>AVERAGE(B67:B86)-2*STDEV.P(B67:B86)</f>
        <v/>
      </c>
      <c r="H86">
        <f>MAX(B86-B85,0)</f>
        <v/>
      </c>
      <c r="I86">
        <f>MAX(B85-B86,0)</f>
        <v/>
      </c>
      <c r="J86">
        <f>(J85*13+H86)/14</f>
        <v/>
      </c>
      <c r="K86">
        <f>(K85*13+I86)/14</f>
        <v/>
      </c>
      <c r="L86">
        <f>IF(K86=0,100,100-100/(1+J86/K86))</f>
        <v/>
      </c>
      <c r="M86">
        <f>IF(MAX(C73:C86)=MIN(D73:D86),50,100*(B86-MIN(D73:D86))/(MAX(C73:C86)-MIN(D73:D86)))</f>
        <v/>
      </c>
      <c r="N86">
        <f>AVERAGE(M84:M86)</f>
        <v/>
      </c>
      <c r="O86">
        <f>IF(ISNUMBER(L86),L86&lt;30,FALSE)</f>
        <v/>
      </c>
      <c r="P86">
        <f>IF(ISNUMBER(N86),N86&lt;20,FALSE)</f>
        <v/>
      </c>
      <c r="Q86">
        <f>IF(AND(ISNUMBER(E66),ISNUMBER(E86)),AND(E86&gt;E66,B86&lt;=E86*1.01,B85&gt;E85*1.01),FALSE)</f>
        <v/>
      </c>
      <c r="R86">
        <f>FALSE</f>
        <v/>
      </c>
      <c r="S86">
        <f>IF(ISNUMBER(G86),B86&lt;G86,FALSE)</f>
        <v/>
      </c>
      <c r="T86">
        <f>OR(O86,P86,Q86,R86,S86)</f>
        <v/>
      </c>
    </row>
    <row r="87">
      <c r="A87">
        <f>IF(Prices!A87="","",Prices!A87)</f>
        <v/>
      </c>
      <c r="B87">
        <f>IF(Prices!E87="","",Prices!E87)</f>
        <v/>
      </c>
      <c r="C87">
        <f>IF(Prices!C87="","",Prices!C87)</f>
        <v/>
      </c>
      <c r="D87">
        <f>IF(Prices!D87="","",Prices!D87)</f>
        <v/>
      </c>
      <c r="E87">
        <f>AVERAGE(B38:B87)</f>
        <v/>
      </c>
      <c r="F87" t="inlineStr"/>
      <c r="G87">
        <f>AVERAGE(B68:B87)-2*STDEV.P(B68:B87)</f>
        <v/>
      </c>
      <c r="H87">
        <f>MAX(B87-B86,0)</f>
        <v/>
      </c>
      <c r="I87">
        <f>MAX(B86-B87,0)</f>
        <v/>
      </c>
      <c r="J87">
        <f>(J86*13+H87)/14</f>
        <v/>
      </c>
      <c r="K87">
        <f>(K86*13+I87)/14</f>
        <v/>
      </c>
      <c r="L87">
        <f>IF(K87=0,100,100-100/(1+J87/K87))</f>
        <v/>
      </c>
      <c r="M87">
        <f>IF(MAX(C74:C87)=MIN(D74:D87),50,100*(B87-MIN(D74:D87))/(MAX(C74:C87)-MIN(D74:D87)))</f>
        <v/>
      </c>
      <c r="N87">
        <f>AVERAGE(M85:M87)</f>
        <v/>
      </c>
      <c r="O87">
        <f>IF(ISNUMBER(L87),L87&lt;30,FALSE)</f>
        <v/>
      </c>
      <c r="P87">
        <f>IF(ISNUMBER(N87),N87&lt;20,FALSE)</f>
        <v/>
      </c>
      <c r="Q87">
        <f>IF(AND(ISNUMBER(E67),ISNUMBER(E87)),AND(E87&gt;E67,B87&lt;=E87*1.01,B86&gt;E86*1.01),FALSE)</f>
        <v/>
      </c>
      <c r="R87">
        <f>FALSE</f>
        <v/>
      </c>
      <c r="S87">
        <f>IF(ISNUMBER(G87),B87&lt;G87,FALSE)</f>
        <v/>
      </c>
      <c r="T87">
        <f>OR(O87,P87,Q87,R87,S87)</f>
        <v/>
      </c>
    </row>
    <row r="88">
      <c r="A88">
        <f>IF(Prices!A88="","",Prices!A88)</f>
        <v/>
      </c>
      <c r="B88">
        <f>IF(Prices!E88="","",Prices!E88)</f>
        <v/>
      </c>
      <c r="C88">
        <f>IF(Prices!C88="","",Prices!C88)</f>
        <v/>
      </c>
      <c r="D88">
        <f>IF(Prices!D88="","",Prices!D88)</f>
        <v/>
      </c>
      <c r="E88">
        <f>AVERAGE(B39:B88)</f>
        <v/>
      </c>
      <c r="F88" t="inlineStr"/>
      <c r="G88">
        <f>AVERAGE(B69:B88)-2*STDEV.P(B69:B88)</f>
        <v/>
      </c>
      <c r="H88">
        <f>MAX(B88-B87,0)</f>
        <v/>
      </c>
      <c r="I88">
        <f>MAX(B87-B88,0)</f>
        <v/>
      </c>
      <c r="J88">
        <f>(J87*13+H88)/14</f>
        <v/>
      </c>
      <c r="K88">
        <f>(K87*13+I88)/14</f>
        <v/>
      </c>
      <c r="L88">
        <f>IF(K88=0,100,100-100/(1+J88/K88))</f>
        <v/>
      </c>
      <c r="M88">
        <f>IF(MAX(C75:C88)=MIN(D75:D88),50,100*(B88-MIN(D75:D88))/(MAX(C75:C88)-MIN(D75:D88)))</f>
        <v/>
      </c>
      <c r="N88">
        <f>AVERAGE(M86:M88)</f>
        <v/>
      </c>
      <c r="O88">
        <f>IF(ISNUMBER(L88),L88&lt;30,FALSE)</f>
        <v/>
      </c>
      <c r="P88">
        <f>IF(ISNUMBER(N88),N88&lt;20,FALSE)</f>
        <v/>
      </c>
      <c r="Q88">
        <f>IF(AND(ISNUMBER(E68),ISNUMBER(E88)),AND(E88&gt;E68,B88&lt;=E88*1.01,B87&gt;E87*1.01),FALSE)</f>
        <v/>
      </c>
      <c r="R88">
        <f>FALSE</f>
        <v/>
      </c>
      <c r="S88">
        <f>IF(ISNUMBER(G88),B88&lt;G88,FALSE)</f>
        <v/>
      </c>
      <c r="T88">
        <f>OR(O88,P88,Q88,R88,S88)</f>
        <v/>
      </c>
    </row>
    <row r="89">
      <c r="A89">
        <f>IF(Prices!A89="","",Prices!A89)</f>
        <v/>
      </c>
      <c r="B89">
        <f>IF(Prices!E89="","",Prices!E89)</f>
        <v/>
      </c>
      <c r="C89">
        <f>IF(Prices!C89="","",Prices!C89)</f>
        <v/>
      </c>
      <c r="D89">
        <f>IF(Prices!D89="","",Prices!D89)</f>
        <v/>
      </c>
      <c r="E89">
        <f>AVERAGE(B40:B89)</f>
        <v/>
      </c>
      <c r="F89" t="inlineStr"/>
      <c r="G89">
        <f>AVERAGE(B70:B89)-2*STDEV.P(B70:B89)</f>
        <v/>
      </c>
      <c r="H89">
        <f>MAX(B89-B88,0)</f>
        <v/>
      </c>
      <c r="I89">
        <f>MAX(B88-B89,0)</f>
        <v/>
      </c>
      <c r="J89">
        <f>(J88*13+H89)/14</f>
        <v/>
      </c>
      <c r="K89">
        <f>(K88*13+I89)/14</f>
        <v/>
      </c>
      <c r="L89">
        <f>IF(K89=0,100,100-100/(1+J89/K89))</f>
        <v/>
      </c>
      <c r="M89">
        <f>IF(MAX(C76:C89)=MIN(D76:D89),50,100*(B89-MIN(D76:D89))/(MAX(C76:C89)-MIN(D76:D89)))</f>
        <v/>
      </c>
      <c r="N89">
        <f>AVERAGE(M87:M89)</f>
        <v/>
      </c>
      <c r="O89">
        <f>IF(ISNUMBER(L89),L89&lt;30,FALSE)</f>
        <v/>
      </c>
      <c r="P89">
        <f>IF(ISNUMBER(N89),N89&lt;20,FALSE)</f>
        <v/>
      </c>
      <c r="Q89">
        <f>IF(AND(ISNUMBER(E69),ISNUMBER(E89)),AND(E89&gt;E69,B89&lt;=E89*1.01,B88&gt;E88*1.01),FALSE)</f>
        <v/>
      </c>
      <c r="R89">
        <f>FALSE</f>
        <v/>
      </c>
      <c r="S89">
        <f>IF(ISNUMBER(G89),B89&lt;G89,FALSE)</f>
        <v/>
      </c>
      <c r="T89">
        <f>OR(O89,P89,Q89,R89,S89)</f>
        <v/>
      </c>
    </row>
    <row r="90">
      <c r="A90">
        <f>IF(Prices!A90="","",Prices!A90)</f>
        <v/>
      </c>
      <c r="B90">
        <f>IF(Prices!E90="","",Prices!E90)</f>
        <v/>
      </c>
      <c r="C90">
        <f>IF(Prices!C90="","",Prices!C90)</f>
        <v/>
      </c>
      <c r="D90">
        <f>IF(Prices!D90="","",Prices!D90)</f>
        <v/>
      </c>
      <c r="E90">
        <f>AVERAGE(B41:B90)</f>
        <v/>
      </c>
      <c r="F90" t="inlineStr"/>
      <c r="G90">
        <f>AVERAGE(B71:B90)-2*STDEV.P(B71:B90)</f>
        <v/>
      </c>
      <c r="H90">
        <f>MAX(B90-B89,0)</f>
        <v/>
      </c>
      <c r="I90">
        <f>MAX(B89-B90,0)</f>
        <v/>
      </c>
      <c r="J90">
        <f>(J89*13+H90)/14</f>
        <v/>
      </c>
      <c r="K90">
        <f>(K89*13+I90)/14</f>
        <v/>
      </c>
      <c r="L90">
        <f>IF(K90=0,100,100-100/(1+J90/K90))</f>
        <v/>
      </c>
      <c r="M90">
        <f>IF(MAX(C77:C90)=MIN(D77:D90),50,100*(B90-MIN(D77:D90))/(MAX(C77:C90)-MIN(D77:D90)))</f>
        <v/>
      </c>
      <c r="N90">
        <f>AVERAGE(M88:M90)</f>
        <v/>
      </c>
      <c r="O90">
        <f>IF(ISNUMBER(L90),L90&lt;30,FALSE)</f>
        <v/>
      </c>
      <c r="P90">
        <f>IF(ISNUMBER(N90),N90&lt;20,FALSE)</f>
        <v/>
      </c>
      <c r="Q90">
        <f>IF(AND(ISNUMBER(E70),ISNUMBER(E90)),AND(E90&gt;E70,B90&lt;=E90*1.01,B89&gt;E89*1.01),FALSE)</f>
        <v/>
      </c>
      <c r="R90">
        <f>FALSE</f>
        <v/>
      </c>
      <c r="S90">
        <f>IF(ISNUMBER(G90),B90&lt;G90,FALSE)</f>
        <v/>
      </c>
      <c r="T90">
        <f>OR(O90,P90,Q90,R90,S90)</f>
        <v/>
      </c>
    </row>
    <row r="91">
      <c r="A91">
        <f>IF(Prices!A91="","",Prices!A91)</f>
        <v/>
      </c>
      <c r="B91">
        <f>IF(Prices!E91="","",Prices!E91)</f>
        <v/>
      </c>
      <c r="C91">
        <f>IF(Prices!C91="","",Prices!C91)</f>
        <v/>
      </c>
      <c r="D91">
        <f>IF(Prices!D91="","",Prices!D91)</f>
        <v/>
      </c>
      <c r="E91">
        <f>AVERAGE(B42:B91)</f>
        <v/>
      </c>
      <c r="F91" t="inlineStr"/>
      <c r="G91">
        <f>AVERAGE(B72:B91)-2*STDEV.P(B72:B91)</f>
        <v/>
      </c>
      <c r="H91">
        <f>MAX(B91-B90,0)</f>
        <v/>
      </c>
      <c r="I91">
        <f>MAX(B90-B91,0)</f>
        <v/>
      </c>
      <c r="J91">
        <f>(J90*13+H91)/14</f>
        <v/>
      </c>
      <c r="K91">
        <f>(K90*13+I91)/14</f>
        <v/>
      </c>
      <c r="L91">
        <f>IF(K91=0,100,100-100/(1+J91/K91))</f>
        <v/>
      </c>
      <c r="M91">
        <f>IF(MAX(C78:C91)=MIN(D78:D91),50,100*(B91-MIN(D78:D91))/(MAX(C78:C91)-MIN(D78:D91)))</f>
        <v/>
      </c>
      <c r="N91">
        <f>AVERAGE(M89:M91)</f>
        <v/>
      </c>
      <c r="O91">
        <f>IF(ISNUMBER(L91),L91&lt;30,FALSE)</f>
        <v/>
      </c>
      <c r="P91">
        <f>IF(ISNUMBER(N91),N91&lt;20,FALSE)</f>
        <v/>
      </c>
      <c r="Q91">
        <f>IF(AND(ISNUMBER(E71),ISNUMBER(E91)),AND(E91&gt;E71,B91&lt;=E91*1.01,B90&gt;E90*1.01),FALSE)</f>
        <v/>
      </c>
      <c r="R91">
        <f>FALSE</f>
        <v/>
      </c>
      <c r="S91">
        <f>IF(ISNUMBER(G91),B91&lt;G91,FALSE)</f>
        <v/>
      </c>
      <c r="T91">
        <f>OR(O91,P91,Q91,R91,S91)</f>
        <v/>
      </c>
    </row>
    <row r="92">
      <c r="A92">
        <f>IF(Prices!A92="","",Prices!A92)</f>
        <v/>
      </c>
      <c r="B92">
        <f>IF(Prices!E92="","",Prices!E92)</f>
        <v/>
      </c>
      <c r="C92">
        <f>IF(Prices!C92="","",Prices!C92)</f>
        <v/>
      </c>
      <c r="D92">
        <f>IF(Prices!D92="","",Prices!D92)</f>
        <v/>
      </c>
      <c r="E92">
        <f>AVERAGE(B43:B92)</f>
        <v/>
      </c>
      <c r="F92" t="inlineStr"/>
      <c r="G92">
        <f>AVERAGE(B73:B92)-2*STDEV.P(B73:B92)</f>
        <v/>
      </c>
      <c r="H92">
        <f>MAX(B92-B91,0)</f>
        <v/>
      </c>
      <c r="I92">
        <f>MAX(B91-B92,0)</f>
        <v/>
      </c>
      <c r="J92">
        <f>(J91*13+H92)/14</f>
        <v/>
      </c>
      <c r="K92">
        <f>(K91*13+I92)/14</f>
        <v/>
      </c>
      <c r="L92">
        <f>IF(K92=0,100,100-100/(1+J92/K92))</f>
        <v/>
      </c>
      <c r="M92">
        <f>IF(MAX(C79:C92)=MIN(D79:D92),50,100*(B92-MIN(D79:D92))/(MAX(C79:C92)-MIN(D79:D92)))</f>
        <v/>
      </c>
      <c r="N92">
        <f>AVERAGE(M90:M92)</f>
        <v/>
      </c>
      <c r="O92">
        <f>IF(ISNUMBER(L92),L92&lt;30,FALSE)</f>
        <v/>
      </c>
      <c r="P92">
        <f>IF(ISNUMBER(N92),N92&lt;20,FALSE)</f>
        <v/>
      </c>
      <c r="Q92">
        <f>IF(AND(ISNUMBER(E72),ISNUMBER(E92)),AND(E92&gt;E72,B92&lt;=E92*1.01,B91&gt;E91*1.01),FALSE)</f>
        <v/>
      </c>
      <c r="R92">
        <f>FALSE</f>
        <v/>
      </c>
      <c r="S92">
        <f>IF(ISNUMBER(G92),B92&lt;G92,FALSE)</f>
        <v/>
      </c>
      <c r="T92">
        <f>OR(O92,P92,Q92,R92,S92)</f>
        <v/>
      </c>
    </row>
    <row r="93">
      <c r="A93">
        <f>IF(Prices!A93="","",Prices!A93)</f>
        <v/>
      </c>
      <c r="B93">
        <f>IF(Prices!E93="","",Prices!E93)</f>
        <v/>
      </c>
      <c r="C93">
        <f>IF(Prices!C93="","",Prices!C93)</f>
        <v/>
      </c>
      <c r="D93">
        <f>IF(Prices!D93="","",Prices!D93)</f>
        <v/>
      </c>
      <c r="E93">
        <f>AVERAGE(B44:B93)</f>
        <v/>
      </c>
      <c r="F93" t="inlineStr"/>
      <c r="G93">
        <f>AVERAGE(B74:B93)-2*STDEV.P(B74:B93)</f>
        <v/>
      </c>
      <c r="H93">
        <f>MAX(B93-B92,0)</f>
        <v/>
      </c>
      <c r="I93">
        <f>MAX(B92-B93,0)</f>
        <v/>
      </c>
      <c r="J93">
        <f>(J92*13+H93)/14</f>
        <v/>
      </c>
      <c r="K93">
        <f>(K92*13+I93)/14</f>
        <v/>
      </c>
      <c r="L93">
        <f>IF(K93=0,100,100-100/(1+J93/K93))</f>
        <v/>
      </c>
      <c r="M93">
        <f>IF(MAX(C80:C93)=MIN(D80:D93),50,100*(B93-MIN(D80:D93))/(MAX(C80:C93)-MIN(D80:D93)))</f>
        <v/>
      </c>
      <c r="N93">
        <f>AVERAGE(M91:M93)</f>
        <v/>
      </c>
      <c r="O93">
        <f>IF(ISNUMBER(L93),L93&lt;30,FALSE)</f>
        <v/>
      </c>
      <c r="P93">
        <f>IF(ISNUMBER(N93),N93&lt;20,FALSE)</f>
        <v/>
      </c>
      <c r="Q93">
        <f>IF(AND(ISNUMBER(E73),ISNUMBER(E93)),AND(E93&gt;E73,B93&lt;=E93*1.01,B92&gt;E92*1.01),FALSE)</f>
        <v/>
      </c>
      <c r="R93">
        <f>FALSE</f>
        <v/>
      </c>
      <c r="S93">
        <f>IF(ISNUMBER(G93),B93&lt;G93,FALSE)</f>
        <v/>
      </c>
      <c r="T93">
        <f>OR(O93,P93,Q93,R93,S93)</f>
        <v/>
      </c>
    </row>
    <row r="94">
      <c r="A94">
        <f>IF(Prices!A94="","",Prices!A94)</f>
        <v/>
      </c>
      <c r="B94">
        <f>IF(Prices!E94="","",Prices!E94)</f>
        <v/>
      </c>
      <c r="C94">
        <f>IF(Prices!C94="","",Prices!C94)</f>
        <v/>
      </c>
      <c r="D94">
        <f>IF(Prices!D94="","",Prices!D94)</f>
        <v/>
      </c>
      <c r="E94">
        <f>AVERAGE(B45:B94)</f>
        <v/>
      </c>
      <c r="F94" t="inlineStr"/>
      <c r="G94">
        <f>AVERAGE(B75:B94)-2*STDEV.P(B75:B94)</f>
        <v/>
      </c>
      <c r="H94">
        <f>MAX(B94-B93,0)</f>
        <v/>
      </c>
      <c r="I94">
        <f>MAX(B93-B94,0)</f>
        <v/>
      </c>
      <c r="J94">
        <f>(J93*13+H94)/14</f>
        <v/>
      </c>
      <c r="K94">
        <f>(K93*13+I94)/14</f>
        <v/>
      </c>
      <c r="L94">
        <f>IF(K94=0,100,100-100/(1+J94/K94))</f>
        <v/>
      </c>
      <c r="M94">
        <f>IF(MAX(C81:C94)=MIN(D81:D94),50,100*(B94-MIN(D81:D94))/(MAX(C81:C94)-MIN(D81:D94)))</f>
        <v/>
      </c>
      <c r="N94">
        <f>AVERAGE(M92:M94)</f>
        <v/>
      </c>
      <c r="O94">
        <f>IF(ISNUMBER(L94),L94&lt;30,FALSE)</f>
        <v/>
      </c>
      <c r="P94">
        <f>IF(ISNUMBER(N94),N94&lt;20,FALSE)</f>
        <v/>
      </c>
      <c r="Q94">
        <f>IF(AND(ISNUMBER(E74),ISNUMBER(E94)),AND(E94&gt;E74,B94&lt;=E94*1.01,B93&gt;E93*1.01),FALSE)</f>
        <v/>
      </c>
      <c r="R94">
        <f>FALSE</f>
        <v/>
      </c>
      <c r="S94">
        <f>IF(ISNUMBER(G94),B94&lt;G94,FALSE)</f>
        <v/>
      </c>
      <c r="T94">
        <f>OR(O94,P94,Q94,R94,S94)</f>
        <v/>
      </c>
    </row>
    <row r="95">
      <c r="A95">
        <f>IF(Prices!A95="","",Prices!A95)</f>
        <v/>
      </c>
      <c r="B95">
        <f>IF(Prices!E95="","",Prices!E95)</f>
        <v/>
      </c>
      <c r="C95">
        <f>IF(Prices!C95="","",Prices!C95)</f>
        <v/>
      </c>
      <c r="D95">
        <f>IF(Prices!D95="","",Prices!D95)</f>
        <v/>
      </c>
      <c r="E95">
        <f>AVERAGE(B46:B95)</f>
        <v/>
      </c>
      <c r="F95" t="inlineStr"/>
      <c r="G95">
        <f>AVERAGE(B76:B95)-2*STDEV.P(B76:B95)</f>
        <v/>
      </c>
      <c r="H95">
        <f>MAX(B95-B94,0)</f>
        <v/>
      </c>
      <c r="I95">
        <f>MAX(B94-B95,0)</f>
        <v/>
      </c>
      <c r="J95">
        <f>(J94*13+H95)/14</f>
        <v/>
      </c>
      <c r="K95">
        <f>(K94*13+I95)/14</f>
        <v/>
      </c>
      <c r="L95">
        <f>IF(K95=0,100,100-100/(1+J95/K95))</f>
        <v/>
      </c>
      <c r="M95">
        <f>IF(MAX(C82:C95)=MIN(D82:D95),50,100*(B95-MIN(D82:D95))/(MAX(C82:C95)-MIN(D82:D95)))</f>
        <v/>
      </c>
      <c r="N95">
        <f>AVERAGE(M93:M95)</f>
        <v/>
      </c>
      <c r="O95">
        <f>IF(ISNUMBER(L95),L95&lt;30,FALSE)</f>
        <v/>
      </c>
      <c r="P95">
        <f>IF(ISNUMBER(N95),N95&lt;20,FALSE)</f>
        <v/>
      </c>
      <c r="Q95">
        <f>IF(AND(ISNUMBER(E75),ISNUMBER(E95)),AND(E95&gt;E75,B95&lt;=E95*1.01,B94&gt;E94*1.01),FALSE)</f>
        <v/>
      </c>
      <c r="R95">
        <f>FALSE</f>
        <v/>
      </c>
      <c r="S95">
        <f>IF(ISNUMBER(G95),B95&lt;G95,FALSE)</f>
        <v/>
      </c>
      <c r="T95">
        <f>OR(O95,P95,Q95,R95,S95)</f>
        <v/>
      </c>
    </row>
    <row r="96">
      <c r="A96">
        <f>IF(Prices!A96="","",Prices!A96)</f>
        <v/>
      </c>
      <c r="B96">
        <f>IF(Prices!E96="","",Prices!E96)</f>
        <v/>
      </c>
      <c r="C96">
        <f>IF(Prices!C96="","",Prices!C96)</f>
        <v/>
      </c>
      <c r="D96">
        <f>IF(Prices!D96="","",Prices!D96)</f>
        <v/>
      </c>
      <c r="E96">
        <f>AVERAGE(B47:B96)</f>
        <v/>
      </c>
      <c r="F96" t="inlineStr"/>
      <c r="G96">
        <f>AVERAGE(B77:B96)-2*STDEV.P(B77:B96)</f>
        <v/>
      </c>
      <c r="H96">
        <f>MAX(B96-B95,0)</f>
        <v/>
      </c>
      <c r="I96">
        <f>MAX(B95-B96,0)</f>
        <v/>
      </c>
      <c r="J96">
        <f>(J95*13+H96)/14</f>
        <v/>
      </c>
      <c r="K96">
        <f>(K95*13+I96)/14</f>
        <v/>
      </c>
      <c r="L96">
        <f>IF(K96=0,100,100-100/(1+J96/K96))</f>
        <v/>
      </c>
      <c r="M96">
        <f>IF(MAX(C83:C96)=MIN(D83:D96),50,100*(B96-MIN(D83:D96))/(MAX(C83:C96)-MIN(D83:D96)))</f>
        <v/>
      </c>
      <c r="N96">
        <f>AVERAGE(M94:M96)</f>
        <v/>
      </c>
      <c r="O96">
        <f>IF(ISNUMBER(L96),L96&lt;30,FALSE)</f>
        <v/>
      </c>
      <c r="P96">
        <f>IF(ISNUMBER(N96),N96&lt;20,FALSE)</f>
        <v/>
      </c>
      <c r="Q96">
        <f>IF(AND(ISNUMBER(E76),ISNUMBER(E96)),AND(E96&gt;E76,B96&lt;=E96*1.01,B95&gt;E95*1.01),FALSE)</f>
        <v/>
      </c>
      <c r="R96">
        <f>FALSE</f>
        <v/>
      </c>
      <c r="S96">
        <f>IF(ISNUMBER(G96),B96&lt;G96,FALSE)</f>
        <v/>
      </c>
      <c r="T96">
        <f>OR(O96,P96,Q96,R96,S96)</f>
        <v/>
      </c>
    </row>
    <row r="97">
      <c r="A97">
        <f>IF(Prices!A97="","",Prices!A97)</f>
        <v/>
      </c>
      <c r="B97">
        <f>IF(Prices!E97="","",Prices!E97)</f>
        <v/>
      </c>
      <c r="C97">
        <f>IF(Prices!C97="","",Prices!C97)</f>
        <v/>
      </c>
      <c r="D97">
        <f>IF(Prices!D97="","",Prices!D97)</f>
        <v/>
      </c>
      <c r="E97">
        <f>AVERAGE(B48:B97)</f>
        <v/>
      </c>
      <c r="F97" t="inlineStr"/>
      <c r="G97">
        <f>AVERAGE(B78:B97)-2*STDEV.P(B78:B97)</f>
        <v/>
      </c>
      <c r="H97">
        <f>MAX(B97-B96,0)</f>
        <v/>
      </c>
      <c r="I97">
        <f>MAX(B96-B97,0)</f>
        <v/>
      </c>
      <c r="J97">
        <f>(J96*13+H97)/14</f>
        <v/>
      </c>
      <c r="K97">
        <f>(K96*13+I97)/14</f>
        <v/>
      </c>
      <c r="L97">
        <f>IF(K97=0,100,100-100/(1+J97/K97))</f>
        <v/>
      </c>
      <c r="M97">
        <f>IF(MAX(C84:C97)=MIN(D84:D97),50,100*(B97-MIN(D84:D97))/(MAX(C84:C97)-MIN(D84:D97)))</f>
        <v/>
      </c>
      <c r="N97">
        <f>AVERAGE(M95:M97)</f>
        <v/>
      </c>
      <c r="O97">
        <f>IF(ISNUMBER(L97),L97&lt;30,FALSE)</f>
        <v/>
      </c>
      <c r="P97">
        <f>IF(ISNUMBER(N97),N97&lt;20,FALSE)</f>
        <v/>
      </c>
      <c r="Q97">
        <f>IF(AND(ISNUMBER(E77),ISNUMBER(E97)),AND(E97&gt;E77,B97&lt;=E97*1.01,B96&gt;E96*1.01),FALSE)</f>
        <v/>
      </c>
      <c r="R97">
        <f>FALSE</f>
        <v/>
      </c>
      <c r="S97">
        <f>IF(ISNUMBER(G97),B97&lt;G97,FALSE)</f>
        <v/>
      </c>
      <c r="T97">
        <f>OR(O97,P97,Q97,R97,S97)</f>
        <v/>
      </c>
    </row>
    <row r="98">
      <c r="A98">
        <f>IF(Prices!A98="","",Prices!A98)</f>
        <v/>
      </c>
      <c r="B98">
        <f>IF(Prices!E98="","",Prices!E98)</f>
        <v/>
      </c>
      <c r="C98">
        <f>IF(Prices!C98="","",Prices!C98)</f>
        <v/>
      </c>
      <c r="D98">
        <f>IF(Prices!D98="","",Prices!D98)</f>
        <v/>
      </c>
      <c r="E98">
        <f>AVERAGE(B49:B98)</f>
        <v/>
      </c>
      <c r="F98" t="inlineStr"/>
      <c r="G98">
        <f>AVERAGE(B79:B98)-2*STDEV.P(B79:B98)</f>
        <v/>
      </c>
      <c r="H98">
        <f>MAX(B98-B97,0)</f>
        <v/>
      </c>
      <c r="I98">
        <f>MAX(B97-B98,0)</f>
        <v/>
      </c>
      <c r="J98">
        <f>(J97*13+H98)/14</f>
        <v/>
      </c>
      <c r="K98">
        <f>(K97*13+I98)/14</f>
        <v/>
      </c>
      <c r="L98">
        <f>IF(K98=0,100,100-100/(1+J98/K98))</f>
        <v/>
      </c>
      <c r="M98">
        <f>IF(MAX(C85:C98)=MIN(D85:D98),50,100*(B98-MIN(D85:D98))/(MAX(C85:C98)-MIN(D85:D98)))</f>
        <v/>
      </c>
      <c r="N98">
        <f>AVERAGE(M96:M98)</f>
        <v/>
      </c>
      <c r="O98">
        <f>IF(ISNUMBER(L98),L98&lt;30,FALSE)</f>
        <v/>
      </c>
      <c r="P98">
        <f>IF(ISNUMBER(N98),N98&lt;20,FALSE)</f>
        <v/>
      </c>
      <c r="Q98">
        <f>IF(AND(ISNUMBER(E78),ISNUMBER(E98)),AND(E98&gt;E78,B98&lt;=E98*1.01,B97&gt;E97*1.01),FALSE)</f>
        <v/>
      </c>
      <c r="R98">
        <f>FALSE</f>
        <v/>
      </c>
      <c r="S98">
        <f>IF(ISNUMBER(G98),B98&lt;G98,FALSE)</f>
        <v/>
      </c>
      <c r="T98">
        <f>OR(O98,P98,Q98,R98,S98)</f>
        <v/>
      </c>
    </row>
    <row r="99">
      <c r="A99">
        <f>IF(Prices!A99="","",Prices!A99)</f>
        <v/>
      </c>
      <c r="B99">
        <f>IF(Prices!E99="","",Prices!E99)</f>
        <v/>
      </c>
      <c r="C99">
        <f>IF(Prices!C99="","",Prices!C99)</f>
        <v/>
      </c>
      <c r="D99">
        <f>IF(Prices!D99="","",Prices!D99)</f>
        <v/>
      </c>
      <c r="E99">
        <f>AVERAGE(B50:B99)</f>
        <v/>
      </c>
      <c r="F99" t="inlineStr"/>
      <c r="G99">
        <f>AVERAGE(B80:B99)-2*STDEV.P(B80:B99)</f>
        <v/>
      </c>
      <c r="H99">
        <f>MAX(B99-B98,0)</f>
        <v/>
      </c>
      <c r="I99">
        <f>MAX(B98-B99,0)</f>
        <v/>
      </c>
      <c r="J99">
        <f>(J98*13+H99)/14</f>
        <v/>
      </c>
      <c r="K99">
        <f>(K98*13+I99)/14</f>
        <v/>
      </c>
      <c r="L99">
        <f>IF(K99=0,100,100-100/(1+J99/K99))</f>
        <v/>
      </c>
      <c r="M99">
        <f>IF(MAX(C86:C99)=MIN(D86:D99),50,100*(B99-MIN(D86:D99))/(MAX(C86:C99)-MIN(D86:D99)))</f>
        <v/>
      </c>
      <c r="N99">
        <f>AVERAGE(M97:M99)</f>
        <v/>
      </c>
      <c r="O99">
        <f>IF(ISNUMBER(L99),L99&lt;30,FALSE)</f>
        <v/>
      </c>
      <c r="P99">
        <f>IF(ISNUMBER(N99),N99&lt;20,FALSE)</f>
        <v/>
      </c>
      <c r="Q99">
        <f>IF(AND(ISNUMBER(E79),ISNUMBER(E99)),AND(E99&gt;E79,B99&lt;=E99*1.01,B98&gt;E98*1.01),FALSE)</f>
        <v/>
      </c>
      <c r="R99">
        <f>FALSE</f>
        <v/>
      </c>
      <c r="S99">
        <f>IF(ISNUMBER(G99),B99&lt;G99,FALSE)</f>
        <v/>
      </c>
      <c r="T99">
        <f>OR(O99,P99,Q99,R99,S99)</f>
        <v/>
      </c>
    </row>
    <row r="100">
      <c r="A100">
        <f>IF(Prices!A100="","",Prices!A100)</f>
        <v/>
      </c>
      <c r="B100">
        <f>IF(Prices!E100="","",Prices!E100)</f>
        <v/>
      </c>
      <c r="C100">
        <f>IF(Prices!C100="","",Prices!C100)</f>
        <v/>
      </c>
      <c r="D100">
        <f>IF(Prices!D100="","",Prices!D100)</f>
        <v/>
      </c>
      <c r="E100">
        <f>AVERAGE(B51:B100)</f>
        <v/>
      </c>
      <c r="F100" t="inlineStr"/>
      <c r="G100">
        <f>AVERAGE(B81:B100)-2*STDEV.P(B81:B100)</f>
        <v/>
      </c>
      <c r="H100">
        <f>MAX(B100-B99,0)</f>
        <v/>
      </c>
      <c r="I100">
        <f>MAX(B99-B100,0)</f>
        <v/>
      </c>
      <c r="J100">
        <f>(J99*13+H100)/14</f>
        <v/>
      </c>
      <c r="K100">
        <f>(K99*13+I100)/14</f>
        <v/>
      </c>
      <c r="L100">
        <f>IF(K100=0,100,100-100/(1+J100/K100))</f>
        <v/>
      </c>
      <c r="M100">
        <f>IF(MAX(C87:C100)=MIN(D87:D100),50,100*(B100-MIN(D87:D100))/(MAX(C87:C100)-MIN(D87:D100)))</f>
        <v/>
      </c>
      <c r="N100">
        <f>AVERAGE(M98:M100)</f>
        <v/>
      </c>
      <c r="O100">
        <f>IF(ISNUMBER(L100),L100&lt;30,FALSE)</f>
        <v/>
      </c>
      <c r="P100">
        <f>IF(ISNUMBER(N100),N100&lt;20,FALSE)</f>
        <v/>
      </c>
      <c r="Q100">
        <f>IF(AND(ISNUMBER(E80),ISNUMBER(E100)),AND(E100&gt;E80,B100&lt;=E100*1.01,B99&gt;E99*1.01),FALSE)</f>
        <v/>
      </c>
      <c r="R100">
        <f>FALSE</f>
        <v/>
      </c>
      <c r="S100">
        <f>IF(ISNUMBER(G100),B100&lt;G100,FALSE)</f>
        <v/>
      </c>
      <c r="T100">
        <f>OR(O100,P100,Q100,R100,S100)</f>
        <v/>
      </c>
    </row>
    <row r="101">
      <c r="A101">
        <f>IF(Prices!A101="","",Prices!A101)</f>
        <v/>
      </c>
      <c r="B101">
        <f>IF(Prices!E101="","",Prices!E101)</f>
        <v/>
      </c>
      <c r="C101">
        <f>IF(Prices!C101="","",Prices!C101)</f>
        <v/>
      </c>
      <c r="D101">
        <f>IF(Prices!D101="","",Prices!D101)</f>
        <v/>
      </c>
      <c r="E101">
        <f>AVERAGE(B52:B101)</f>
        <v/>
      </c>
      <c r="F101" t="inlineStr"/>
      <c r="G101">
        <f>AVERAGE(B82:B101)-2*STDEV.P(B82:B101)</f>
        <v/>
      </c>
      <c r="H101">
        <f>MAX(B101-B100,0)</f>
        <v/>
      </c>
      <c r="I101">
        <f>MAX(B100-B101,0)</f>
        <v/>
      </c>
      <c r="J101">
        <f>(J100*13+H101)/14</f>
        <v/>
      </c>
      <c r="K101">
        <f>(K100*13+I101)/14</f>
        <v/>
      </c>
      <c r="L101">
        <f>IF(K101=0,100,100-100/(1+J101/K101))</f>
        <v/>
      </c>
      <c r="M101">
        <f>IF(MAX(C88:C101)=MIN(D88:D101),50,100*(B101-MIN(D88:D101))/(MAX(C88:C101)-MIN(D88:D101)))</f>
        <v/>
      </c>
      <c r="N101">
        <f>AVERAGE(M99:M101)</f>
        <v/>
      </c>
      <c r="O101">
        <f>IF(ISNUMBER(L101),L101&lt;30,FALSE)</f>
        <v/>
      </c>
      <c r="P101">
        <f>IF(ISNUMBER(N101),N101&lt;20,FALSE)</f>
        <v/>
      </c>
      <c r="Q101">
        <f>IF(AND(ISNUMBER(E81),ISNUMBER(E101)),AND(E101&gt;E81,B101&lt;=E101*1.01,B100&gt;E100*1.01),FALSE)</f>
        <v/>
      </c>
      <c r="R101">
        <f>FALSE</f>
        <v/>
      </c>
      <c r="S101">
        <f>IF(ISNUMBER(G101),B101&lt;G101,FALSE)</f>
        <v/>
      </c>
      <c r="T101">
        <f>OR(O101,P101,Q101,R101,S101)</f>
        <v/>
      </c>
    </row>
    <row r="102">
      <c r="A102">
        <f>IF(Prices!A102="","",Prices!A102)</f>
        <v/>
      </c>
      <c r="B102">
        <f>IF(Prices!E102="","",Prices!E102)</f>
        <v/>
      </c>
      <c r="C102">
        <f>IF(Prices!C102="","",Prices!C102)</f>
        <v/>
      </c>
      <c r="D102">
        <f>IF(Prices!D102="","",Prices!D102)</f>
        <v/>
      </c>
      <c r="E102">
        <f>AVERAGE(B53:B102)</f>
        <v/>
      </c>
      <c r="F102" t="inlineStr"/>
      <c r="G102">
        <f>AVERAGE(B83:B102)-2*STDEV.P(B83:B102)</f>
        <v/>
      </c>
      <c r="H102">
        <f>MAX(B102-B101,0)</f>
        <v/>
      </c>
      <c r="I102">
        <f>MAX(B101-B102,0)</f>
        <v/>
      </c>
      <c r="J102">
        <f>(J101*13+H102)/14</f>
        <v/>
      </c>
      <c r="K102">
        <f>(K101*13+I102)/14</f>
        <v/>
      </c>
      <c r="L102">
        <f>IF(K102=0,100,100-100/(1+J102/K102))</f>
        <v/>
      </c>
      <c r="M102">
        <f>IF(MAX(C89:C102)=MIN(D89:D102),50,100*(B102-MIN(D89:D102))/(MAX(C89:C102)-MIN(D89:D102)))</f>
        <v/>
      </c>
      <c r="N102">
        <f>AVERAGE(M100:M102)</f>
        <v/>
      </c>
      <c r="O102">
        <f>IF(ISNUMBER(L102),L102&lt;30,FALSE)</f>
        <v/>
      </c>
      <c r="P102">
        <f>IF(ISNUMBER(N102),N102&lt;20,FALSE)</f>
        <v/>
      </c>
      <c r="Q102">
        <f>IF(AND(ISNUMBER(E82),ISNUMBER(E102)),AND(E102&gt;E82,B102&lt;=E102*1.01,B101&gt;E101*1.01),FALSE)</f>
        <v/>
      </c>
      <c r="R102">
        <f>FALSE</f>
        <v/>
      </c>
      <c r="S102">
        <f>IF(ISNUMBER(G102),B102&lt;G102,FALSE)</f>
        <v/>
      </c>
      <c r="T102">
        <f>OR(O102,P102,Q102,R102,S102)</f>
        <v/>
      </c>
    </row>
    <row r="103">
      <c r="A103">
        <f>IF(Prices!A103="","",Prices!A103)</f>
        <v/>
      </c>
      <c r="B103">
        <f>IF(Prices!E103="","",Prices!E103)</f>
        <v/>
      </c>
      <c r="C103">
        <f>IF(Prices!C103="","",Prices!C103)</f>
        <v/>
      </c>
      <c r="D103">
        <f>IF(Prices!D103="","",Prices!D103)</f>
        <v/>
      </c>
      <c r="E103">
        <f>AVERAGE(B54:B103)</f>
        <v/>
      </c>
      <c r="F103" t="inlineStr"/>
      <c r="G103">
        <f>AVERAGE(B84:B103)-2*STDEV.P(B84:B103)</f>
        <v/>
      </c>
      <c r="H103">
        <f>MAX(B103-B102,0)</f>
        <v/>
      </c>
      <c r="I103">
        <f>MAX(B102-B103,0)</f>
        <v/>
      </c>
      <c r="J103">
        <f>(J102*13+H103)/14</f>
        <v/>
      </c>
      <c r="K103">
        <f>(K102*13+I103)/14</f>
        <v/>
      </c>
      <c r="L103">
        <f>IF(K103=0,100,100-100/(1+J103/K103))</f>
        <v/>
      </c>
      <c r="M103">
        <f>IF(MAX(C90:C103)=MIN(D90:D103),50,100*(B103-MIN(D90:D103))/(MAX(C90:C103)-MIN(D90:D103)))</f>
        <v/>
      </c>
      <c r="N103">
        <f>AVERAGE(M101:M103)</f>
        <v/>
      </c>
      <c r="O103">
        <f>IF(ISNUMBER(L103),L103&lt;30,FALSE)</f>
        <v/>
      </c>
      <c r="P103">
        <f>IF(ISNUMBER(N103),N103&lt;20,FALSE)</f>
        <v/>
      </c>
      <c r="Q103">
        <f>IF(AND(ISNUMBER(E83),ISNUMBER(E103)),AND(E103&gt;E83,B103&lt;=E103*1.01,B102&gt;E102*1.01),FALSE)</f>
        <v/>
      </c>
      <c r="R103">
        <f>FALSE</f>
        <v/>
      </c>
      <c r="S103">
        <f>IF(ISNUMBER(G103),B103&lt;G103,FALSE)</f>
        <v/>
      </c>
      <c r="T103">
        <f>OR(O103,P103,Q103,R103,S103)</f>
        <v/>
      </c>
    </row>
    <row r="104">
      <c r="A104">
        <f>IF(Prices!A104="","",Prices!A104)</f>
        <v/>
      </c>
      <c r="B104">
        <f>IF(Prices!E104="","",Prices!E104)</f>
        <v/>
      </c>
      <c r="C104">
        <f>IF(Prices!C104="","",Prices!C104)</f>
        <v/>
      </c>
      <c r="D104">
        <f>IF(Prices!D104="","",Prices!D104)</f>
        <v/>
      </c>
      <c r="E104">
        <f>AVERAGE(B55:B104)</f>
        <v/>
      </c>
      <c r="F104" t="inlineStr"/>
      <c r="G104">
        <f>AVERAGE(B85:B104)-2*STDEV.P(B85:B104)</f>
        <v/>
      </c>
      <c r="H104">
        <f>MAX(B104-B103,0)</f>
        <v/>
      </c>
      <c r="I104">
        <f>MAX(B103-B104,0)</f>
        <v/>
      </c>
      <c r="J104">
        <f>(J103*13+H104)/14</f>
        <v/>
      </c>
      <c r="K104">
        <f>(K103*13+I104)/14</f>
        <v/>
      </c>
      <c r="L104">
        <f>IF(K104=0,100,100-100/(1+J104/K104))</f>
        <v/>
      </c>
      <c r="M104">
        <f>IF(MAX(C91:C104)=MIN(D91:D104),50,100*(B104-MIN(D91:D104))/(MAX(C91:C104)-MIN(D91:D104)))</f>
        <v/>
      </c>
      <c r="N104">
        <f>AVERAGE(M102:M104)</f>
        <v/>
      </c>
      <c r="O104">
        <f>IF(ISNUMBER(L104),L104&lt;30,FALSE)</f>
        <v/>
      </c>
      <c r="P104">
        <f>IF(ISNUMBER(N104),N104&lt;20,FALSE)</f>
        <v/>
      </c>
      <c r="Q104">
        <f>IF(AND(ISNUMBER(E84),ISNUMBER(E104)),AND(E104&gt;E84,B104&lt;=E104*1.01,B103&gt;E103*1.01),FALSE)</f>
        <v/>
      </c>
      <c r="R104">
        <f>FALSE</f>
        <v/>
      </c>
      <c r="S104">
        <f>IF(ISNUMBER(G104),B104&lt;G104,FALSE)</f>
        <v/>
      </c>
      <c r="T104">
        <f>OR(O104,P104,Q104,R104,S104)</f>
        <v/>
      </c>
    </row>
    <row r="105">
      <c r="A105">
        <f>IF(Prices!A105="","",Prices!A105)</f>
        <v/>
      </c>
      <c r="B105">
        <f>IF(Prices!E105="","",Prices!E105)</f>
        <v/>
      </c>
      <c r="C105">
        <f>IF(Prices!C105="","",Prices!C105)</f>
        <v/>
      </c>
      <c r="D105">
        <f>IF(Prices!D105="","",Prices!D105)</f>
        <v/>
      </c>
      <c r="E105">
        <f>AVERAGE(B56:B105)</f>
        <v/>
      </c>
      <c r="F105" t="inlineStr"/>
      <c r="G105">
        <f>AVERAGE(B86:B105)-2*STDEV.P(B86:B105)</f>
        <v/>
      </c>
      <c r="H105">
        <f>MAX(B105-B104,0)</f>
        <v/>
      </c>
      <c r="I105">
        <f>MAX(B104-B105,0)</f>
        <v/>
      </c>
      <c r="J105">
        <f>(J104*13+H105)/14</f>
        <v/>
      </c>
      <c r="K105">
        <f>(K104*13+I105)/14</f>
        <v/>
      </c>
      <c r="L105">
        <f>IF(K105=0,100,100-100/(1+J105/K105))</f>
        <v/>
      </c>
      <c r="M105">
        <f>IF(MAX(C92:C105)=MIN(D92:D105),50,100*(B105-MIN(D92:D105))/(MAX(C92:C105)-MIN(D92:D105)))</f>
        <v/>
      </c>
      <c r="N105">
        <f>AVERAGE(M103:M105)</f>
        <v/>
      </c>
      <c r="O105">
        <f>IF(ISNUMBER(L105),L105&lt;30,FALSE)</f>
        <v/>
      </c>
      <c r="P105">
        <f>IF(ISNUMBER(N105),N105&lt;20,FALSE)</f>
        <v/>
      </c>
      <c r="Q105">
        <f>IF(AND(ISNUMBER(E85),ISNUMBER(E105)),AND(E105&gt;E85,B105&lt;=E105*1.01,B104&gt;E104*1.01),FALSE)</f>
        <v/>
      </c>
      <c r="R105">
        <f>FALSE</f>
        <v/>
      </c>
      <c r="S105">
        <f>IF(ISNUMBER(G105),B105&lt;G105,FALSE)</f>
        <v/>
      </c>
      <c r="T105">
        <f>OR(O105,P105,Q105,R105,S105)</f>
        <v/>
      </c>
    </row>
    <row r="106">
      <c r="A106">
        <f>IF(Prices!A106="","",Prices!A106)</f>
        <v/>
      </c>
      <c r="B106">
        <f>IF(Prices!E106="","",Prices!E106)</f>
        <v/>
      </c>
      <c r="C106">
        <f>IF(Prices!C106="","",Prices!C106)</f>
        <v/>
      </c>
      <c r="D106">
        <f>IF(Prices!D106="","",Prices!D106)</f>
        <v/>
      </c>
      <c r="E106">
        <f>AVERAGE(B57:B106)</f>
        <v/>
      </c>
      <c r="F106" t="inlineStr"/>
      <c r="G106">
        <f>AVERAGE(B87:B106)-2*STDEV.P(B87:B106)</f>
        <v/>
      </c>
      <c r="H106">
        <f>MAX(B106-B105,0)</f>
        <v/>
      </c>
      <c r="I106">
        <f>MAX(B105-B106,0)</f>
        <v/>
      </c>
      <c r="J106">
        <f>(J105*13+H106)/14</f>
        <v/>
      </c>
      <c r="K106">
        <f>(K105*13+I106)/14</f>
        <v/>
      </c>
      <c r="L106">
        <f>IF(K106=0,100,100-100/(1+J106/K106))</f>
        <v/>
      </c>
      <c r="M106">
        <f>IF(MAX(C93:C106)=MIN(D93:D106),50,100*(B106-MIN(D93:D106))/(MAX(C93:C106)-MIN(D93:D106)))</f>
        <v/>
      </c>
      <c r="N106">
        <f>AVERAGE(M104:M106)</f>
        <v/>
      </c>
      <c r="O106">
        <f>IF(ISNUMBER(L106),L106&lt;30,FALSE)</f>
        <v/>
      </c>
      <c r="P106">
        <f>IF(ISNUMBER(N106),N106&lt;20,FALSE)</f>
        <v/>
      </c>
      <c r="Q106">
        <f>IF(AND(ISNUMBER(E86),ISNUMBER(E106)),AND(E106&gt;E86,B106&lt;=E106*1.01,B105&gt;E105*1.01),FALSE)</f>
        <v/>
      </c>
      <c r="R106">
        <f>FALSE</f>
        <v/>
      </c>
      <c r="S106">
        <f>IF(ISNUMBER(G106),B106&lt;G106,FALSE)</f>
        <v/>
      </c>
      <c r="T106">
        <f>OR(O106,P106,Q106,R106,S106)</f>
        <v/>
      </c>
    </row>
    <row r="107">
      <c r="A107">
        <f>IF(Prices!A107="","",Prices!A107)</f>
        <v/>
      </c>
      <c r="B107">
        <f>IF(Prices!E107="","",Prices!E107)</f>
        <v/>
      </c>
      <c r="C107">
        <f>IF(Prices!C107="","",Prices!C107)</f>
        <v/>
      </c>
      <c r="D107">
        <f>IF(Prices!D107="","",Prices!D107)</f>
        <v/>
      </c>
      <c r="E107">
        <f>AVERAGE(B58:B107)</f>
        <v/>
      </c>
      <c r="F107" t="inlineStr"/>
      <c r="G107">
        <f>AVERAGE(B88:B107)-2*STDEV.P(B88:B107)</f>
        <v/>
      </c>
      <c r="H107">
        <f>MAX(B107-B106,0)</f>
        <v/>
      </c>
      <c r="I107">
        <f>MAX(B106-B107,0)</f>
        <v/>
      </c>
      <c r="J107">
        <f>(J106*13+H107)/14</f>
        <v/>
      </c>
      <c r="K107">
        <f>(K106*13+I107)/14</f>
        <v/>
      </c>
      <c r="L107">
        <f>IF(K107=0,100,100-100/(1+J107/K107))</f>
        <v/>
      </c>
      <c r="M107">
        <f>IF(MAX(C94:C107)=MIN(D94:D107),50,100*(B107-MIN(D94:D107))/(MAX(C94:C107)-MIN(D94:D107)))</f>
        <v/>
      </c>
      <c r="N107">
        <f>AVERAGE(M105:M107)</f>
        <v/>
      </c>
      <c r="O107">
        <f>IF(ISNUMBER(L107),L107&lt;30,FALSE)</f>
        <v/>
      </c>
      <c r="P107">
        <f>IF(ISNUMBER(N107),N107&lt;20,FALSE)</f>
        <v/>
      </c>
      <c r="Q107">
        <f>IF(AND(ISNUMBER(E87),ISNUMBER(E107)),AND(E107&gt;E87,B107&lt;=E107*1.01,B106&gt;E106*1.01),FALSE)</f>
        <v/>
      </c>
      <c r="R107">
        <f>FALSE</f>
        <v/>
      </c>
      <c r="S107">
        <f>IF(ISNUMBER(G107),B107&lt;G107,FALSE)</f>
        <v/>
      </c>
      <c r="T107">
        <f>OR(O107,P107,Q107,R107,S107)</f>
        <v/>
      </c>
    </row>
    <row r="108">
      <c r="A108">
        <f>IF(Prices!A108="","",Prices!A108)</f>
        <v/>
      </c>
      <c r="B108">
        <f>IF(Prices!E108="","",Prices!E108)</f>
        <v/>
      </c>
      <c r="C108">
        <f>IF(Prices!C108="","",Prices!C108)</f>
        <v/>
      </c>
      <c r="D108">
        <f>IF(Prices!D108="","",Prices!D108)</f>
        <v/>
      </c>
      <c r="E108">
        <f>AVERAGE(B59:B108)</f>
        <v/>
      </c>
      <c r="F108" t="inlineStr"/>
      <c r="G108">
        <f>AVERAGE(B89:B108)-2*STDEV.P(B89:B108)</f>
        <v/>
      </c>
      <c r="H108">
        <f>MAX(B108-B107,0)</f>
        <v/>
      </c>
      <c r="I108">
        <f>MAX(B107-B108,0)</f>
        <v/>
      </c>
      <c r="J108">
        <f>(J107*13+H108)/14</f>
        <v/>
      </c>
      <c r="K108">
        <f>(K107*13+I108)/14</f>
        <v/>
      </c>
      <c r="L108">
        <f>IF(K108=0,100,100-100/(1+J108/K108))</f>
        <v/>
      </c>
      <c r="M108">
        <f>IF(MAX(C95:C108)=MIN(D95:D108),50,100*(B108-MIN(D95:D108))/(MAX(C95:C108)-MIN(D95:D108)))</f>
        <v/>
      </c>
      <c r="N108">
        <f>AVERAGE(M106:M108)</f>
        <v/>
      </c>
      <c r="O108">
        <f>IF(ISNUMBER(L108),L108&lt;30,FALSE)</f>
        <v/>
      </c>
      <c r="P108">
        <f>IF(ISNUMBER(N108),N108&lt;20,FALSE)</f>
        <v/>
      </c>
      <c r="Q108">
        <f>IF(AND(ISNUMBER(E88),ISNUMBER(E108)),AND(E108&gt;E88,B108&lt;=E108*1.01,B107&gt;E107*1.01),FALSE)</f>
        <v/>
      </c>
      <c r="R108">
        <f>FALSE</f>
        <v/>
      </c>
      <c r="S108">
        <f>IF(ISNUMBER(G108),B108&lt;G108,FALSE)</f>
        <v/>
      </c>
      <c r="T108">
        <f>OR(O108,P108,Q108,R108,S108)</f>
        <v/>
      </c>
    </row>
    <row r="109">
      <c r="A109">
        <f>IF(Prices!A109="","",Prices!A109)</f>
        <v/>
      </c>
      <c r="B109">
        <f>IF(Prices!E109="","",Prices!E109)</f>
        <v/>
      </c>
      <c r="C109">
        <f>IF(Prices!C109="","",Prices!C109)</f>
        <v/>
      </c>
      <c r="D109">
        <f>IF(Prices!D109="","",Prices!D109)</f>
        <v/>
      </c>
      <c r="E109">
        <f>AVERAGE(B60:B109)</f>
        <v/>
      </c>
      <c r="F109" t="inlineStr"/>
      <c r="G109">
        <f>AVERAGE(B90:B109)-2*STDEV.P(B90:B109)</f>
        <v/>
      </c>
      <c r="H109">
        <f>MAX(B109-B108,0)</f>
        <v/>
      </c>
      <c r="I109">
        <f>MAX(B108-B109,0)</f>
        <v/>
      </c>
      <c r="J109">
        <f>(J108*13+H109)/14</f>
        <v/>
      </c>
      <c r="K109">
        <f>(K108*13+I109)/14</f>
        <v/>
      </c>
      <c r="L109">
        <f>IF(K109=0,100,100-100/(1+J109/K109))</f>
        <v/>
      </c>
      <c r="M109">
        <f>IF(MAX(C96:C109)=MIN(D96:D109),50,100*(B109-MIN(D96:D109))/(MAX(C96:C109)-MIN(D96:D109)))</f>
        <v/>
      </c>
      <c r="N109">
        <f>AVERAGE(M107:M109)</f>
        <v/>
      </c>
      <c r="O109">
        <f>IF(ISNUMBER(L109),L109&lt;30,FALSE)</f>
        <v/>
      </c>
      <c r="P109">
        <f>IF(ISNUMBER(N109),N109&lt;20,FALSE)</f>
        <v/>
      </c>
      <c r="Q109">
        <f>IF(AND(ISNUMBER(E89),ISNUMBER(E109)),AND(E109&gt;E89,B109&lt;=E109*1.01,B108&gt;E108*1.01),FALSE)</f>
        <v/>
      </c>
      <c r="R109">
        <f>FALSE</f>
        <v/>
      </c>
      <c r="S109">
        <f>IF(ISNUMBER(G109),B109&lt;G109,FALSE)</f>
        <v/>
      </c>
      <c r="T109">
        <f>OR(O109,P109,Q109,R109,S109)</f>
        <v/>
      </c>
    </row>
    <row r="110">
      <c r="A110">
        <f>IF(Prices!A110="","",Prices!A110)</f>
        <v/>
      </c>
      <c r="B110">
        <f>IF(Prices!E110="","",Prices!E110)</f>
        <v/>
      </c>
      <c r="C110">
        <f>IF(Prices!C110="","",Prices!C110)</f>
        <v/>
      </c>
      <c r="D110">
        <f>IF(Prices!D110="","",Prices!D110)</f>
        <v/>
      </c>
      <c r="E110">
        <f>AVERAGE(B61:B110)</f>
        <v/>
      </c>
      <c r="F110" t="inlineStr"/>
      <c r="G110">
        <f>AVERAGE(B91:B110)-2*STDEV.P(B91:B110)</f>
        <v/>
      </c>
      <c r="H110">
        <f>MAX(B110-B109,0)</f>
        <v/>
      </c>
      <c r="I110">
        <f>MAX(B109-B110,0)</f>
        <v/>
      </c>
      <c r="J110">
        <f>(J109*13+H110)/14</f>
        <v/>
      </c>
      <c r="K110">
        <f>(K109*13+I110)/14</f>
        <v/>
      </c>
      <c r="L110">
        <f>IF(K110=0,100,100-100/(1+J110/K110))</f>
        <v/>
      </c>
      <c r="M110">
        <f>IF(MAX(C97:C110)=MIN(D97:D110),50,100*(B110-MIN(D97:D110))/(MAX(C97:C110)-MIN(D97:D110)))</f>
        <v/>
      </c>
      <c r="N110">
        <f>AVERAGE(M108:M110)</f>
        <v/>
      </c>
      <c r="O110">
        <f>IF(ISNUMBER(L110),L110&lt;30,FALSE)</f>
        <v/>
      </c>
      <c r="P110">
        <f>IF(ISNUMBER(N110),N110&lt;20,FALSE)</f>
        <v/>
      </c>
      <c r="Q110">
        <f>IF(AND(ISNUMBER(E90),ISNUMBER(E110)),AND(E110&gt;E90,B110&lt;=E110*1.01,B109&gt;E109*1.01),FALSE)</f>
        <v/>
      </c>
      <c r="R110">
        <f>FALSE</f>
        <v/>
      </c>
      <c r="S110">
        <f>IF(ISNUMBER(G110),B110&lt;G110,FALSE)</f>
        <v/>
      </c>
      <c r="T110">
        <f>OR(O110,P110,Q110,R110,S110)</f>
        <v/>
      </c>
    </row>
    <row r="111">
      <c r="A111">
        <f>IF(Prices!A111="","",Prices!A111)</f>
        <v/>
      </c>
      <c r="B111">
        <f>IF(Prices!E111="","",Prices!E111)</f>
        <v/>
      </c>
      <c r="C111">
        <f>IF(Prices!C111="","",Prices!C111)</f>
        <v/>
      </c>
      <c r="D111">
        <f>IF(Prices!D111="","",Prices!D111)</f>
        <v/>
      </c>
      <c r="E111">
        <f>AVERAGE(B62:B111)</f>
        <v/>
      </c>
      <c r="F111" t="inlineStr"/>
      <c r="G111">
        <f>AVERAGE(B92:B111)-2*STDEV.P(B92:B111)</f>
        <v/>
      </c>
      <c r="H111">
        <f>MAX(B111-B110,0)</f>
        <v/>
      </c>
      <c r="I111">
        <f>MAX(B110-B111,0)</f>
        <v/>
      </c>
      <c r="J111">
        <f>(J110*13+H111)/14</f>
        <v/>
      </c>
      <c r="K111">
        <f>(K110*13+I111)/14</f>
        <v/>
      </c>
      <c r="L111">
        <f>IF(K111=0,100,100-100/(1+J111/K111))</f>
        <v/>
      </c>
      <c r="M111">
        <f>IF(MAX(C98:C111)=MIN(D98:D111),50,100*(B111-MIN(D98:D111))/(MAX(C98:C111)-MIN(D98:D111)))</f>
        <v/>
      </c>
      <c r="N111">
        <f>AVERAGE(M109:M111)</f>
        <v/>
      </c>
      <c r="O111">
        <f>IF(ISNUMBER(L111),L111&lt;30,FALSE)</f>
        <v/>
      </c>
      <c r="P111">
        <f>IF(ISNUMBER(N111),N111&lt;20,FALSE)</f>
        <v/>
      </c>
      <c r="Q111">
        <f>IF(AND(ISNUMBER(E91),ISNUMBER(E111)),AND(E111&gt;E91,B111&lt;=E111*1.01,B110&gt;E110*1.01),FALSE)</f>
        <v/>
      </c>
      <c r="R111">
        <f>FALSE</f>
        <v/>
      </c>
      <c r="S111">
        <f>IF(ISNUMBER(G111),B111&lt;G111,FALSE)</f>
        <v/>
      </c>
      <c r="T111">
        <f>OR(O111,P111,Q111,R111,S111)</f>
        <v/>
      </c>
    </row>
    <row r="112">
      <c r="A112">
        <f>IF(Prices!A112="","",Prices!A112)</f>
        <v/>
      </c>
      <c r="B112">
        <f>IF(Prices!E112="","",Prices!E112)</f>
        <v/>
      </c>
      <c r="C112">
        <f>IF(Prices!C112="","",Prices!C112)</f>
        <v/>
      </c>
      <c r="D112">
        <f>IF(Prices!D112="","",Prices!D112)</f>
        <v/>
      </c>
      <c r="E112">
        <f>AVERAGE(B63:B112)</f>
        <v/>
      </c>
      <c r="F112" t="inlineStr"/>
      <c r="G112">
        <f>AVERAGE(B93:B112)-2*STDEV.P(B93:B112)</f>
        <v/>
      </c>
      <c r="H112">
        <f>MAX(B112-B111,0)</f>
        <v/>
      </c>
      <c r="I112">
        <f>MAX(B111-B112,0)</f>
        <v/>
      </c>
      <c r="J112">
        <f>(J111*13+H112)/14</f>
        <v/>
      </c>
      <c r="K112">
        <f>(K111*13+I112)/14</f>
        <v/>
      </c>
      <c r="L112">
        <f>IF(K112=0,100,100-100/(1+J112/K112))</f>
        <v/>
      </c>
      <c r="M112">
        <f>IF(MAX(C99:C112)=MIN(D99:D112),50,100*(B112-MIN(D99:D112))/(MAX(C99:C112)-MIN(D99:D112)))</f>
        <v/>
      </c>
      <c r="N112">
        <f>AVERAGE(M110:M112)</f>
        <v/>
      </c>
      <c r="O112">
        <f>IF(ISNUMBER(L112),L112&lt;30,FALSE)</f>
        <v/>
      </c>
      <c r="P112">
        <f>IF(ISNUMBER(N112),N112&lt;20,FALSE)</f>
        <v/>
      </c>
      <c r="Q112">
        <f>IF(AND(ISNUMBER(E92),ISNUMBER(E112)),AND(E112&gt;E92,B112&lt;=E112*1.01,B111&gt;E111*1.01),FALSE)</f>
        <v/>
      </c>
      <c r="R112">
        <f>FALSE</f>
        <v/>
      </c>
      <c r="S112">
        <f>IF(ISNUMBER(G112),B112&lt;G112,FALSE)</f>
        <v/>
      </c>
      <c r="T112">
        <f>OR(O112,P112,Q112,R112,S112)</f>
        <v/>
      </c>
    </row>
    <row r="113">
      <c r="A113">
        <f>IF(Prices!A113="","",Prices!A113)</f>
        <v/>
      </c>
      <c r="B113">
        <f>IF(Prices!E113="","",Prices!E113)</f>
        <v/>
      </c>
      <c r="C113">
        <f>IF(Prices!C113="","",Prices!C113)</f>
        <v/>
      </c>
      <c r="D113">
        <f>IF(Prices!D113="","",Prices!D113)</f>
        <v/>
      </c>
      <c r="E113">
        <f>AVERAGE(B64:B113)</f>
        <v/>
      </c>
      <c r="F113" t="inlineStr"/>
      <c r="G113">
        <f>AVERAGE(B94:B113)-2*STDEV.P(B94:B113)</f>
        <v/>
      </c>
      <c r="H113">
        <f>MAX(B113-B112,0)</f>
        <v/>
      </c>
      <c r="I113">
        <f>MAX(B112-B113,0)</f>
        <v/>
      </c>
      <c r="J113">
        <f>(J112*13+H113)/14</f>
        <v/>
      </c>
      <c r="K113">
        <f>(K112*13+I113)/14</f>
        <v/>
      </c>
      <c r="L113">
        <f>IF(K113=0,100,100-100/(1+J113/K113))</f>
        <v/>
      </c>
      <c r="M113">
        <f>IF(MAX(C100:C113)=MIN(D100:D113),50,100*(B113-MIN(D100:D113))/(MAX(C100:C113)-MIN(D100:D113)))</f>
        <v/>
      </c>
      <c r="N113">
        <f>AVERAGE(M111:M113)</f>
        <v/>
      </c>
      <c r="O113">
        <f>IF(ISNUMBER(L113),L113&lt;30,FALSE)</f>
        <v/>
      </c>
      <c r="P113">
        <f>IF(ISNUMBER(N113),N113&lt;20,FALSE)</f>
        <v/>
      </c>
      <c r="Q113">
        <f>IF(AND(ISNUMBER(E93),ISNUMBER(E113)),AND(E113&gt;E93,B113&lt;=E113*1.01,B112&gt;E112*1.01),FALSE)</f>
        <v/>
      </c>
      <c r="R113">
        <f>FALSE</f>
        <v/>
      </c>
      <c r="S113">
        <f>IF(ISNUMBER(G113),B113&lt;G113,FALSE)</f>
        <v/>
      </c>
      <c r="T113">
        <f>OR(O113,P113,Q113,R113,S113)</f>
        <v/>
      </c>
    </row>
    <row r="114">
      <c r="A114">
        <f>IF(Prices!A114="","",Prices!A114)</f>
        <v/>
      </c>
      <c r="B114">
        <f>IF(Prices!E114="","",Prices!E114)</f>
        <v/>
      </c>
      <c r="C114">
        <f>IF(Prices!C114="","",Prices!C114)</f>
        <v/>
      </c>
      <c r="D114">
        <f>IF(Prices!D114="","",Prices!D114)</f>
        <v/>
      </c>
      <c r="E114">
        <f>AVERAGE(B65:B114)</f>
        <v/>
      </c>
      <c r="F114" t="inlineStr"/>
      <c r="G114">
        <f>AVERAGE(B95:B114)-2*STDEV.P(B95:B114)</f>
        <v/>
      </c>
      <c r="H114">
        <f>MAX(B114-B113,0)</f>
        <v/>
      </c>
      <c r="I114">
        <f>MAX(B113-B114,0)</f>
        <v/>
      </c>
      <c r="J114">
        <f>(J113*13+H114)/14</f>
        <v/>
      </c>
      <c r="K114">
        <f>(K113*13+I114)/14</f>
        <v/>
      </c>
      <c r="L114">
        <f>IF(K114=0,100,100-100/(1+J114/K114))</f>
        <v/>
      </c>
      <c r="M114">
        <f>IF(MAX(C101:C114)=MIN(D101:D114),50,100*(B114-MIN(D101:D114))/(MAX(C101:C114)-MIN(D101:D114)))</f>
        <v/>
      </c>
      <c r="N114">
        <f>AVERAGE(M112:M114)</f>
        <v/>
      </c>
      <c r="O114">
        <f>IF(ISNUMBER(L114),L114&lt;30,FALSE)</f>
        <v/>
      </c>
      <c r="P114">
        <f>IF(ISNUMBER(N114),N114&lt;20,FALSE)</f>
        <v/>
      </c>
      <c r="Q114">
        <f>IF(AND(ISNUMBER(E94),ISNUMBER(E114)),AND(E114&gt;E94,B114&lt;=E114*1.01,B113&gt;E113*1.01),FALSE)</f>
        <v/>
      </c>
      <c r="R114">
        <f>FALSE</f>
        <v/>
      </c>
      <c r="S114">
        <f>IF(ISNUMBER(G114),B114&lt;G114,FALSE)</f>
        <v/>
      </c>
      <c r="T114">
        <f>OR(O114,P114,Q114,R114,S114)</f>
        <v/>
      </c>
    </row>
    <row r="115">
      <c r="A115">
        <f>IF(Prices!A115="","",Prices!A115)</f>
        <v/>
      </c>
      <c r="B115">
        <f>IF(Prices!E115="","",Prices!E115)</f>
        <v/>
      </c>
      <c r="C115">
        <f>IF(Prices!C115="","",Prices!C115)</f>
        <v/>
      </c>
      <c r="D115">
        <f>IF(Prices!D115="","",Prices!D115)</f>
        <v/>
      </c>
      <c r="E115">
        <f>AVERAGE(B66:B115)</f>
        <v/>
      </c>
      <c r="F115" t="inlineStr"/>
      <c r="G115">
        <f>AVERAGE(B96:B115)-2*STDEV.P(B96:B115)</f>
        <v/>
      </c>
      <c r="H115">
        <f>MAX(B115-B114,0)</f>
        <v/>
      </c>
      <c r="I115">
        <f>MAX(B114-B115,0)</f>
        <v/>
      </c>
      <c r="J115">
        <f>(J114*13+H115)/14</f>
        <v/>
      </c>
      <c r="K115">
        <f>(K114*13+I115)/14</f>
        <v/>
      </c>
      <c r="L115">
        <f>IF(K115=0,100,100-100/(1+J115/K115))</f>
        <v/>
      </c>
      <c r="M115">
        <f>IF(MAX(C102:C115)=MIN(D102:D115),50,100*(B115-MIN(D102:D115))/(MAX(C102:C115)-MIN(D102:D115)))</f>
        <v/>
      </c>
      <c r="N115">
        <f>AVERAGE(M113:M115)</f>
        <v/>
      </c>
      <c r="O115">
        <f>IF(ISNUMBER(L115),L115&lt;30,FALSE)</f>
        <v/>
      </c>
      <c r="P115">
        <f>IF(ISNUMBER(N115),N115&lt;20,FALSE)</f>
        <v/>
      </c>
      <c r="Q115">
        <f>IF(AND(ISNUMBER(E95),ISNUMBER(E115)),AND(E115&gt;E95,B115&lt;=E115*1.01,B114&gt;E114*1.01),FALSE)</f>
        <v/>
      </c>
      <c r="R115">
        <f>FALSE</f>
        <v/>
      </c>
      <c r="S115">
        <f>IF(ISNUMBER(G115),B115&lt;G115,FALSE)</f>
        <v/>
      </c>
      <c r="T115">
        <f>OR(O115,P115,Q115,R115,S115)</f>
        <v/>
      </c>
    </row>
    <row r="116">
      <c r="A116">
        <f>IF(Prices!A116="","",Prices!A116)</f>
        <v/>
      </c>
      <c r="B116">
        <f>IF(Prices!E116="","",Prices!E116)</f>
        <v/>
      </c>
      <c r="C116">
        <f>IF(Prices!C116="","",Prices!C116)</f>
        <v/>
      </c>
      <c r="D116">
        <f>IF(Prices!D116="","",Prices!D116)</f>
        <v/>
      </c>
      <c r="E116">
        <f>AVERAGE(B67:B116)</f>
        <v/>
      </c>
      <c r="F116" t="inlineStr"/>
      <c r="G116">
        <f>AVERAGE(B97:B116)-2*STDEV.P(B97:B116)</f>
        <v/>
      </c>
      <c r="H116">
        <f>MAX(B116-B115,0)</f>
        <v/>
      </c>
      <c r="I116">
        <f>MAX(B115-B116,0)</f>
        <v/>
      </c>
      <c r="J116">
        <f>(J115*13+H116)/14</f>
        <v/>
      </c>
      <c r="K116">
        <f>(K115*13+I116)/14</f>
        <v/>
      </c>
      <c r="L116">
        <f>IF(K116=0,100,100-100/(1+J116/K116))</f>
        <v/>
      </c>
      <c r="M116">
        <f>IF(MAX(C103:C116)=MIN(D103:D116),50,100*(B116-MIN(D103:D116))/(MAX(C103:C116)-MIN(D103:D116)))</f>
        <v/>
      </c>
      <c r="N116">
        <f>AVERAGE(M114:M116)</f>
        <v/>
      </c>
      <c r="O116">
        <f>IF(ISNUMBER(L116),L116&lt;30,FALSE)</f>
        <v/>
      </c>
      <c r="P116">
        <f>IF(ISNUMBER(N116),N116&lt;20,FALSE)</f>
        <v/>
      </c>
      <c r="Q116">
        <f>IF(AND(ISNUMBER(E96),ISNUMBER(E116)),AND(E116&gt;E96,B116&lt;=E116*1.01,B115&gt;E115*1.01),FALSE)</f>
        <v/>
      </c>
      <c r="R116">
        <f>FALSE</f>
        <v/>
      </c>
      <c r="S116">
        <f>IF(ISNUMBER(G116),B116&lt;G116,FALSE)</f>
        <v/>
      </c>
      <c r="T116">
        <f>OR(O116,P116,Q116,R116,S116)</f>
        <v/>
      </c>
    </row>
    <row r="117">
      <c r="A117">
        <f>IF(Prices!A117="","",Prices!A117)</f>
        <v/>
      </c>
      <c r="B117">
        <f>IF(Prices!E117="","",Prices!E117)</f>
        <v/>
      </c>
      <c r="C117">
        <f>IF(Prices!C117="","",Prices!C117)</f>
        <v/>
      </c>
      <c r="D117">
        <f>IF(Prices!D117="","",Prices!D117)</f>
        <v/>
      </c>
      <c r="E117">
        <f>AVERAGE(B68:B117)</f>
        <v/>
      </c>
      <c r="F117" t="inlineStr"/>
      <c r="G117">
        <f>AVERAGE(B98:B117)-2*STDEV.P(B98:B117)</f>
        <v/>
      </c>
      <c r="H117">
        <f>MAX(B117-B116,0)</f>
        <v/>
      </c>
      <c r="I117">
        <f>MAX(B116-B117,0)</f>
        <v/>
      </c>
      <c r="J117">
        <f>(J116*13+H117)/14</f>
        <v/>
      </c>
      <c r="K117">
        <f>(K116*13+I117)/14</f>
        <v/>
      </c>
      <c r="L117">
        <f>IF(K117=0,100,100-100/(1+J117/K117))</f>
        <v/>
      </c>
      <c r="M117">
        <f>IF(MAX(C104:C117)=MIN(D104:D117),50,100*(B117-MIN(D104:D117))/(MAX(C104:C117)-MIN(D104:D117)))</f>
        <v/>
      </c>
      <c r="N117">
        <f>AVERAGE(M115:M117)</f>
        <v/>
      </c>
      <c r="O117">
        <f>IF(ISNUMBER(L117),L117&lt;30,FALSE)</f>
        <v/>
      </c>
      <c r="P117">
        <f>IF(ISNUMBER(N117),N117&lt;20,FALSE)</f>
        <v/>
      </c>
      <c r="Q117">
        <f>IF(AND(ISNUMBER(E97),ISNUMBER(E117)),AND(E117&gt;E97,B117&lt;=E117*1.01,B116&gt;E116*1.01),FALSE)</f>
        <v/>
      </c>
      <c r="R117">
        <f>FALSE</f>
        <v/>
      </c>
      <c r="S117">
        <f>IF(ISNUMBER(G117),B117&lt;G117,FALSE)</f>
        <v/>
      </c>
      <c r="T117">
        <f>OR(O117,P117,Q117,R117,S117)</f>
        <v/>
      </c>
    </row>
    <row r="118">
      <c r="A118">
        <f>IF(Prices!A118="","",Prices!A118)</f>
        <v/>
      </c>
      <c r="B118">
        <f>IF(Prices!E118="","",Prices!E118)</f>
        <v/>
      </c>
      <c r="C118">
        <f>IF(Prices!C118="","",Prices!C118)</f>
        <v/>
      </c>
      <c r="D118">
        <f>IF(Prices!D118="","",Prices!D118)</f>
        <v/>
      </c>
      <c r="E118">
        <f>AVERAGE(B69:B118)</f>
        <v/>
      </c>
      <c r="F118" t="inlineStr"/>
      <c r="G118">
        <f>AVERAGE(B99:B118)-2*STDEV.P(B99:B118)</f>
        <v/>
      </c>
      <c r="H118">
        <f>MAX(B118-B117,0)</f>
        <v/>
      </c>
      <c r="I118">
        <f>MAX(B117-B118,0)</f>
        <v/>
      </c>
      <c r="J118">
        <f>(J117*13+H118)/14</f>
        <v/>
      </c>
      <c r="K118">
        <f>(K117*13+I118)/14</f>
        <v/>
      </c>
      <c r="L118">
        <f>IF(K118=0,100,100-100/(1+J118/K118))</f>
        <v/>
      </c>
      <c r="M118">
        <f>IF(MAX(C105:C118)=MIN(D105:D118),50,100*(B118-MIN(D105:D118))/(MAX(C105:C118)-MIN(D105:D118)))</f>
        <v/>
      </c>
      <c r="N118">
        <f>AVERAGE(M116:M118)</f>
        <v/>
      </c>
      <c r="O118">
        <f>IF(ISNUMBER(L118),L118&lt;30,FALSE)</f>
        <v/>
      </c>
      <c r="P118">
        <f>IF(ISNUMBER(N118),N118&lt;20,FALSE)</f>
        <v/>
      </c>
      <c r="Q118">
        <f>IF(AND(ISNUMBER(E98),ISNUMBER(E118)),AND(E118&gt;E98,B118&lt;=E118*1.01,B117&gt;E117*1.01),FALSE)</f>
        <v/>
      </c>
      <c r="R118">
        <f>FALSE</f>
        <v/>
      </c>
      <c r="S118">
        <f>IF(ISNUMBER(G118),B118&lt;G118,FALSE)</f>
        <v/>
      </c>
      <c r="T118">
        <f>OR(O118,P118,Q118,R118,S118)</f>
        <v/>
      </c>
    </row>
    <row r="119">
      <c r="A119">
        <f>IF(Prices!A119="","",Prices!A119)</f>
        <v/>
      </c>
      <c r="B119">
        <f>IF(Prices!E119="","",Prices!E119)</f>
        <v/>
      </c>
      <c r="C119">
        <f>IF(Prices!C119="","",Prices!C119)</f>
        <v/>
      </c>
      <c r="D119">
        <f>IF(Prices!D119="","",Prices!D119)</f>
        <v/>
      </c>
      <c r="E119">
        <f>AVERAGE(B70:B119)</f>
        <v/>
      </c>
      <c r="F119" t="inlineStr"/>
      <c r="G119">
        <f>AVERAGE(B100:B119)-2*STDEV.P(B100:B119)</f>
        <v/>
      </c>
      <c r="H119">
        <f>MAX(B119-B118,0)</f>
        <v/>
      </c>
      <c r="I119">
        <f>MAX(B118-B119,0)</f>
        <v/>
      </c>
      <c r="J119">
        <f>(J118*13+H119)/14</f>
        <v/>
      </c>
      <c r="K119">
        <f>(K118*13+I119)/14</f>
        <v/>
      </c>
      <c r="L119">
        <f>IF(K119=0,100,100-100/(1+J119/K119))</f>
        <v/>
      </c>
      <c r="M119">
        <f>IF(MAX(C106:C119)=MIN(D106:D119),50,100*(B119-MIN(D106:D119))/(MAX(C106:C119)-MIN(D106:D119)))</f>
        <v/>
      </c>
      <c r="N119">
        <f>AVERAGE(M117:M119)</f>
        <v/>
      </c>
      <c r="O119">
        <f>IF(ISNUMBER(L119),L119&lt;30,FALSE)</f>
        <v/>
      </c>
      <c r="P119">
        <f>IF(ISNUMBER(N119),N119&lt;20,FALSE)</f>
        <v/>
      </c>
      <c r="Q119">
        <f>IF(AND(ISNUMBER(E99),ISNUMBER(E119)),AND(E119&gt;E99,B119&lt;=E119*1.01,B118&gt;E118*1.01),FALSE)</f>
        <v/>
      </c>
      <c r="R119">
        <f>FALSE</f>
        <v/>
      </c>
      <c r="S119">
        <f>IF(ISNUMBER(G119),B119&lt;G119,FALSE)</f>
        <v/>
      </c>
      <c r="T119">
        <f>OR(O119,P119,Q119,R119,S119)</f>
        <v/>
      </c>
    </row>
    <row r="120">
      <c r="A120">
        <f>IF(Prices!A120="","",Prices!A120)</f>
        <v/>
      </c>
      <c r="B120">
        <f>IF(Prices!E120="","",Prices!E120)</f>
        <v/>
      </c>
      <c r="C120">
        <f>IF(Prices!C120="","",Prices!C120)</f>
        <v/>
      </c>
      <c r="D120">
        <f>IF(Prices!D120="","",Prices!D120)</f>
        <v/>
      </c>
      <c r="E120">
        <f>AVERAGE(B71:B120)</f>
        <v/>
      </c>
      <c r="F120" t="inlineStr"/>
      <c r="G120">
        <f>AVERAGE(B101:B120)-2*STDEV.P(B101:B120)</f>
        <v/>
      </c>
      <c r="H120">
        <f>MAX(B120-B119,0)</f>
        <v/>
      </c>
      <c r="I120">
        <f>MAX(B119-B120,0)</f>
        <v/>
      </c>
      <c r="J120">
        <f>(J119*13+H120)/14</f>
        <v/>
      </c>
      <c r="K120">
        <f>(K119*13+I120)/14</f>
        <v/>
      </c>
      <c r="L120">
        <f>IF(K120=0,100,100-100/(1+J120/K120))</f>
        <v/>
      </c>
      <c r="M120">
        <f>IF(MAX(C107:C120)=MIN(D107:D120),50,100*(B120-MIN(D107:D120))/(MAX(C107:C120)-MIN(D107:D120)))</f>
        <v/>
      </c>
      <c r="N120">
        <f>AVERAGE(M118:M120)</f>
        <v/>
      </c>
      <c r="O120">
        <f>IF(ISNUMBER(L120),L120&lt;30,FALSE)</f>
        <v/>
      </c>
      <c r="P120">
        <f>IF(ISNUMBER(N120),N120&lt;20,FALSE)</f>
        <v/>
      </c>
      <c r="Q120">
        <f>IF(AND(ISNUMBER(E100),ISNUMBER(E120)),AND(E120&gt;E100,B120&lt;=E120*1.01,B119&gt;E119*1.01),FALSE)</f>
        <v/>
      </c>
      <c r="R120">
        <f>FALSE</f>
        <v/>
      </c>
      <c r="S120">
        <f>IF(ISNUMBER(G120),B120&lt;G120,FALSE)</f>
        <v/>
      </c>
      <c r="T120">
        <f>OR(O120,P120,Q120,R120,S120)</f>
        <v/>
      </c>
    </row>
    <row r="121">
      <c r="A121">
        <f>IF(Prices!A121="","",Prices!A121)</f>
        <v/>
      </c>
      <c r="B121">
        <f>IF(Prices!E121="","",Prices!E121)</f>
        <v/>
      </c>
      <c r="C121">
        <f>IF(Prices!C121="","",Prices!C121)</f>
        <v/>
      </c>
      <c r="D121">
        <f>IF(Prices!D121="","",Prices!D121)</f>
        <v/>
      </c>
      <c r="E121">
        <f>AVERAGE(B72:B121)</f>
        <v/>
      </c>
      <c r="F121" t="inlineStr"/>
      <c r="G121">
        <f>AVERAGE(B102:B121)-2*STDEV.P(B102:B121)</f>
        <v/>
      </c>
      <c r="H121">
        <f>MAX(B121-B120,0)</f>
        <v/>
      </c>
      <c r="I121">
        <f>MAX(B120-B121,0)</f>
        <v/>
      </c>
      <c r="J121">
        <f>(J120*13+H121)/14</f>
        <v/>
      </c>
      <c r="K121">
        <f>(K120*13+I121)/14</f>
        <v/>
      </c>
      <c r="L121">
        <f>IF(K121=0,100,100-100/(1+J121/K121))</f>
        <v/>
      </c>
      <c r="M121">
        <f>IF(MAX(C108:C121)=MIN(D108:D121),50,100*(B121-MIN(D108:D121))/(MAX(C108:C121)-MIN(D108:D121)))</f>
        <v/>
      </c>
      <c r="N121">
        <f>AVERAGE(M119:M121)</f>
        <v/>
      </c>
      <c r="O121">
        <f>IF(ISNUMBER(L121),L121&lt;30,FALSE)</f>
        <v/>
      </c>
      <c r="P121">
        <f>IF(ISNUMBER(N121),N121&lt;20,FALSE)</f>
        <v/>
      </c>
      <c r="Q121">
        <f>IF(AND(ISNUMBER(E101),ISNUMBER(E121)),AND(E121&gt;E101,B121&lt;=E121*1.01,B120&gt;E120*1.01),FALSE)</f>
        <v/>
      </c>
      <c r="R121">
        <f>FALSE</f>
        <v/>
      </c>
      <c r="S121">
        <f>IF(ISNUMBER(G121),B121&lt;G121,FALSE)</f>
        <v/>
      </c>
      <c r="T121">
        <f>OR(O121,P121,Q121,R121,S121)</f>
        <v/>
      </c>
    </row>
    <row r="122">
      <c r="A122">
        <f>IF(Prices!A122="","",Prices!A122)</f>
        <v/>
      </c>
      <c r="B122">
        <f>IF(Prices!E122="","",Prices!E122)</f>
        <v/>
      </c>
      <c r="C122">
        <f>IF(Prices!C122="","",Prices!C122)</f>
        <v/>
      </c>
      <c r="D122">
        <f>IF(Prices!D122="","",Prices!D122)</f>
        <v/>
      </c>
      <c r="E122">
        <f>AVERAGE(B73:B122)</f>
        <v/>
      </c>
      <c r="F122" t="inlineStr"/>
      <c r="G122">
        <f>AVERAGE(B103:B122)-2*STDEV.P(B103:B122)</f>
        <v/>
      </c>
      <c r="H122">
        <f>MAX(B122-B121,0)</f>
        <v/>
      </c>
      <c r="I122">
        <f>MAX(B121-B122,0)</f>
        <v/>
      </c>
      <c r="J122">
        <f>(J121*13+H122)/14</f>
        <v/>
      </c>
      <c r="K122">
        <f>(K121*13+I122)/14</f>
        <v/>
      </c>
      <c r="L122">
        <f>IF(K122=0,100,100-100/(1+J122/K122))</f>
        <v/>
      </c>
      <c r="M122">
        <f>IF(MAX(C109:C122)=MIN(D109:D122),50,100*(B122-MIN(D109:D122))/(MAX(C109:C122)-MIN(D109:D122)))</f>
        <v/>
      </c>
      <c r="N122">
        <f>AVERAGE(M120:M122)</f>
        <v/>
      </c>
      <c r="O122">
        <f>IF(ISNUMBER(L122),L122&lt;30,FALSE)</f>
        <v/>
      </c>
      <c r="P122">
        <f>IF(ISNUMBER(N122),N122&lt;20,FALSE)</f>
        <v/>
      </c>
      <c r="Q122">
        <f>IF(AND(ISNUMBER(E102),ISNUMBER(E122)),AND(E122&gt;E102,B122&lt;=E122*1.01,B121&gt;E121*1.01),FALSE)</f>
        <v/>
      </c>
      <c r="R122">
        <f>FALSE</f>
        <v/>
      </c>
      <c r="S122">
        <f>IF(ISNUMBER(G122),B122&lt;G122,FALSE)</f>
        <v/>
      </c>
      <c r="T122">
        <f>OR(O122,P122,Q122,R122,S122)</f>
        <v/>
      </c>
    </row>
    <row r="123">
      <c r="A123">
        <f>IF(Prices!A123="","",Prices!A123)</f>
        <v/>
      </c>
      <c r="B123">
        <f>IF(Prices!E123="","",Prices!E123)</f>
        <v/>
      </c>
      <c r="C123">
        <f>IF(Prices!C123="","",Prices!C123)</f>
        <v/>
      </c>
      <c r="D123">
        <f>IF(Prices!D123="","",Prices!D123)</f>
        <v/>
      </c>
      <c r="E123">
        <f>AVERAGE(B74:B123)</f>
        <v/>
      </c>
      <c r="F123" t="inlineStr"/>
      <c r="G123">
        <f>AVERAGE(B104:B123)-2*STDEV.P(B104:B123)</f>
        <v/>
      </c>
      <c r="H123">
        <f>MAX(B123-B122,0)</f>
        <v/>
      </c>
      <c r="I123">
        <f>MAX(B122-B123,0)</f>
        <v/>
      </c>
      <c r="J123">
        <f>(J122*13+H123)/14</f>
        <v/>
      </c>
      <c r="K123">
        <f>(K122*13+I123)/14</f>
        <v/>
      </c>
      <c r="L123">
        <f>IF(K123=0,100,100-100/(1+J123/K123))</f>
        <v/>
      </c>
      <c r="M123">
        <f>IF(MAX(C110:C123)=MIN(D110:D123),50,100*(B123-MIN(D110:D123))/(MAX(C110:C123)-MIN(D110:D123)))</f>
        <v/>
      </c>
      <c r="N123">
        <f>AVERAGE(M121:M123)</f>
        <v/>
      </c>
      <c r="O123">
        <f>IF(ISNUMBER(L123),L123&lt;30,FALSE)</f>
        <v/>
      </c>
      <c r="P123">
        <f>IF(ISNUMBER(N123),N123&lt;20,FALSE)</f>
        <v/>
      </c>
      <c r="Q123">
        <f>IF(AND(ISNUMBER(E103),ISNUMBER(E123)),AND(E123&gt;E103,B123&lt;=E123*1.01,B122&gt;E122*1.01),FALSE)</f>
        <v/>
      </c>
      <c r="R123">
        <f>FALSE</f>
        <v/>
      </c>
      <c r="S123">
        <f>IF(ISNUMBER(G123),B123&lt;G123,FALSE)</f>
        <v/>
      </c>
      <c r="T123">
        <f>OR(O123,P123,Q123,R123,S123)</f>
        <v/>
      </c>
    </row>
    <row r="124">
      <c r="A124">
        <f>IF(Prices!A124="","",Prices!A124)</f>
        <v/>
      </c>
      <c r="B124">
        <f>IF(Prices!E124="","",Prices!E124)</f>
        <v/>
      </c>
      <c r="C124">
        <f>IF(Prices!C124="","",Prices!C124)</f>
        <v/>
      </c>
      <c r="D124">
        <f>IF(Prices!D124="","",Prices!D124)</f>
        <v/>
      </c>
      <c r="E124">
        <f>AVERAGE(B75:B124)</f>
        <v/>
      </c>
      <c r="F124" t="inlineStr"/>
      <c r="G124">
        <f>AVERAGE(B105:B124)-2*STDEV.P(B105:B124)</f>
        <v/>
      </c>
      <c r="H124">
        <f>MAX(B124-B123,0)</f>
        <v/>
      </c>
      <c r="I124">
        <f>MAX(B123-B124,0)</f>
        <v/>
      </c>
      <c r="J124">
        <f>(J123*13+H124)/14</f>
        <v/>
      </c>
      <c r="K124">
        <f>(K123*13+I124)/14</f>
        <v/>
      </c>
      <c r="L124">
        <f>IF(K124=0,100,100-100/(1+J124/K124))</f>
        <v/>
      </c>
      <c r="M124">
        <f>IF(MAX(C111:C124)=MIN(D111:D124),50,100*(B124-MIN(D111:D124))/(MAX(C111:C124)-MIN(D111:D124)))</f>
        <v/>
      </c>
      <c r="N124">
        <f>AVERAGE(M122:M124)</f>
        <v/>
      </c>
      <c r="O124">
        <f>IF(ISNUMBER(L124),L124&lt;30,FALSE)</f>
        <v/>
      </c>
      <c r="P124">
        <f>IF(ISNUMBER(N124),N124&lt;20,FALSE)</f>
        <v/>
      </c>
      <c r="Q124">
        <f>IF(AND(ISNUMBER(E104),ISNUMBER(E124)),AND(E124&gt;E104,B124&lt;=E124*1.01,B123&gt;E123*1.01),FALSE)</f>
        <v/>
      </c>
      <c r="R124">
        <f>FALSE</f>
        <v/>
      </c>
      <c r="S124">
        <f>IF(ISNUMBER(G124),B124&lt;G124,FALSE)</f>
        <v/>
      </c>
      <c r="T124">
        <f>OR(O124,P124,Q124,R124,S124)</f>
        <v/>
      </c>
    </row>
    <row r="125">
      <c r="A125">
        <f>IF(Prices!A125="","",Prices!A125)</f>
        <v/>
      </c>
      <c r="B125">
        <f>IF(Prices!E125="","",Prices!E125)</f>
        <v/>
      </c>
      <c r="C125">
        <f>IF(Prices!C125="","",Prices!C125)</f>
        <v/>
      </c>
      <c r="D125">
        <f>IF(Prices!D125="","",Prices!D125)</f>
        <v/>
      </c>
      <c r="E125">
        <f>AVERAGE(B76:B125)</f>
        <v/>
      </c>
      <c r="F125" t="inlineStr"/>
      <c r="G125">
        <f>AVERAGE(B106:B125)-2*STDEV.P(B106:B125)</f>
        <v/>
      </c>
      <c r="H125">
        <f>MAX(B125-B124,0)</f>
        <v/>
      </c>
      <c r="I125">
        <f>MAX(B124-B125,0)</f>
        <v/>
      </c>
      <c r="J125">
        <f>(J124*13+H125)/14</f>
        <v/>
      </c>
      <c r="K125">
        <f>(K124*13+I125)/14</f>
        <v/>
      </c>
      <c r="L125">
        <f>IF(K125=0,100,100-100/(1+J125/K125))</f>
        <v/>
      </c>
      <c r="M125">
        <f>IF(MAX(C112:C125)=MIN(D112:D125),50,100*(B125-MIN(D112:D125))/(MAX(C112:C125)-MIN(D112:D125)))</f>
        <v/>
      </c>
      <c r="N125">
        <f>AVERAGE(M123:M125)</f>
        <v/>
      </c>
      <c r="O125">
        <f>IF(ISNUMBER(L125),L125&lt;30,FALSE)</f>
        <v/>
      </c>
      <c r="P125">
        <f>IF(ISNUMBER(N125),N125&lt;20,FALSE)</f>
        <v/>
      </c>
      <c r="Q125">
        <f>IF(AND(ISNUMBER(E105),ISNUMBER(E125)),AND(E125&gt;E105,B125&lt;=E125*1.01,B124&gt;E124*1.01),FALSE)</f>
        <v/>
      </c>
      <c r="R125">
        <f>FALSE</f>
        <v/>
      </c>
      <c r="S125">
        <f>IF(ISNUMBER(G125),B125&lt;G125,FALSE)</f>
        <v/>
      </c>
      <c r="T125">
        <f>OR(O125,P125,Q125,R125,S125)</f>
        <v/>
      </c>
    </row>
    <row r="126">
      <c r="A126">
        <f>IF(Prices!A126="","",Prices!A126)</f>
        <v/>
      </c>
      <c r="B126">
        <f>IF(Prices!E126="","",Prices!E126)</f>
        <v/>
      </c>
      <c r="C126">
        <f>IF(Prices!C126="","",Prices!C126)</f>
        <v/>
      </c>
      <c r="D126">
        <f>IF(Prices!D126="","",Prices!D126)</f>
        <v/>
      </c>
      <c r="E126">
        <f>AVERAGE(B77:B126)</f>
        <v/>
      </c>
      <c r="F126" t="inlineStr"/>
      <c r="G126">
        <f>AVERAGE(B107:B126)-2*STDEV.P(B107:B126)</f>
        <v/>
      </c>
      <c r="H126">
        <f>MAX(B126-B125,0)</f>
        <v/>
      </c>
      <c r="I126">
        <f>MAX(B125-B126,0)</f>
        <v/>
      </c>
      <c r="J126">
        <f>(J125*13+H126)/14</f>
        <v/>
      </c>
      <c r="K126">
        <f>(K125*13+I126)/14</f>
        <v/>
      </c>
      <c r="L126">
        <f>IF(K126=0,100,100-100/(1+J126/K126))</f>
        <v/>
      </c>
      <c r="M126">
        <f>IF(MAX(C113:C126)=MIN(D113:D126),50,100*(B126-MIN(D113:D126))/(MAX(C113:C126)-MIN(D113:D126)))</f>
        <v/>
      </c>
      <c r="N126">
        <f>AVERAGE(M124:M126)</f>
        <v/>
      </c>
      <c r="O126">
        <f>IF(ISNUMBER(L126),L126&lt;30,FALSE)</f>
        <v/>
      </c>
      <c r="P126">
        <f>IF(ISNUMBER(N126),N126&lt;20,FALSE)</f>
        <v/>
      </c>
      <c r="Q126">
        <f>IF(AND(ISNUMBER(E106),ISNUMBER(E126)),AND(E126&gt;E106,B126&lt;=E126*1.01,B125&gt;E125*1.01),FALSE)</f>
        <v/>
      </c>
      <c r="R126">
        <f>FALSE</f>
        <v/>
      </c>
      <c r="S126">
        <f>IF(ISNUMBER(G126),B126&lt;G126,FALSE)</f>
        <v/>
      </c>
      <c r="T126">
        <f>OR(O126,P126,Q126,R126,S126)</f>
        <v/>
      </c>
    </row>
    <row r="127">
      <c r="A127">
        <f>IF(Prices!A127="","",Prices!A127)</f>
        <v/>
      </c>
      <c r="B127">
        <f>IF(Prices!E127="","",Prices!E127)</f>
        <v/>
      </c>
      <c r="C127">
        <f>IF(Prices!C127="","",Prices!C127)</f>
        <v/>
      </c>
      <c r="D127">
        <f>IF(Prices!D127="","",Prices!D127)</f>
        <v/>
      </c>
      <c r="E127">
        <f>AVERAGE(B78:B127)</f>
        <v/>
      </c>
      <c r="F127" t="inlineStr"/>
      <c r="G127">
        <f>AVERAGE(B108:B127)-2*STDEV.P(B108:B127)</f>
        <v/>
      </c>
      <c r="H127">
        <f>MAX(B127-B126,0)</f>
        <v/>
      </c>
      <c r="I127">
        <f>MAX(B126-B127,0)</f>
        <v/>
      </c>
      <c r="J127">
        <f>(J126*13+H127)/14</f>
        <v/>
      </c>
      <c r="K127">
        <f>(K126*13+I127)/14</f>
        <v/>
      </c>
      <c r="L127">
        <f>IF(K127=0,100,100-100/(1+J127/K127))</f>
        <v/>
      </c>
      <c r="M127">
        <f>IF(MAX(C114:C127)=MIN(D114:D127),50,100*(B127-MIN(D114:D127))/(MAX(C114:C127)-MIN(D114:D127)))</f>
        <v/>
      </c>
      <c r="N127">
        <f>AVERAGE(M125:M127)</f>
        <v/>
      </c>
      <c r="O127">
        <f>IF(ISNUMBER(L127),L127&lt;30,FALSE)</f>
        <v/>
      </c>
      <c r="P127">
        <f>IF(ISNUMBER(N127),N127&lt;20,FALSE)</f>
        <v/>
      </c>
      <c r="Q127">
        <f>IF(AND(ISNUMBER(E107),ISNUMBER(E127)),AND(E127&gt;E107,B127&lt;=E127*1.01,B126&gt;E126*1.01),FALSE)</f>
        <v/>
      </c>
      <c r="R127">
        <f>FALSE</f>
        <v/>
      </c>
      <c r="S127">
        <f>IF(ISNUMBER(G127),B127&lt;G127,FALSE)</f>
        <v/>
      </c>
      <c r="T127">
        <f>OR(O127,P127,Q127,R127,S127)</f>
        <v/>
      </c>
    </row>
    <row r="128">
      <c r="A128">
        <f>IF(Prices!A128="","",Prices!A128)</f>
        <v/>
      </c>
      <c r="B128">
        <f>IF(Prices!E128="","",Prices!E128)</f>
        <v/>
      </c>
      <c r="C128">
        <f>IF(Prices!C128="","",Prices!C128)</f>
        <v/>
      </c>
      <c r="D128">
        <f>IF(Prices!D128="","",Prices!D128)</f>
        <v/>
      </c>
      <c r="E128">
        <f>AVERAGE(B79:B128)</f>
        <v/>
      </c>
      <c r="F128" t="inlineStr"/>
      <c r="G128">
        <f>AVERAGE(B109:B128)-2*STDEV.P(B109:B128)</f>
        <v/>
      </c>
      <c r="H128">
        <f>MAX(B128-B127,0)</f>
        <v/>
      </c>
      <c r="I128">
        <f>MAX(B127-B128,0)</f>
        <v/>
      </c>
      <c r="J128">
        <f>(J127*13+H128)/14</f>
        <v/>
      </c>
      <c r="K128">
        <f>(K127*13+I128)/14</f>
        <v/>
      </c>
      <c r="L128">
        <f>IF(K128=0,100,100-100/(1+J128/K128))</f>
        <v/>
      </c>
      <c r="M128">
        <f>IF(MAX(C115:C128)=MIN(D115:D128),50,100*(B128-MIN(D115:D128))/(MAX(C115:C128)-MIN(D115:D128)))</f>
        <v/>
      </c>
      <c r="N128">
        <f>AVERAGE(M126:M128)</f>
        <v/>
      </c>
      <c r="O128">
        <f>IF(ISNUMBER(L128),L128&lt;30,FALSE)</f>
        <v/>
      </c>
      <c r="P128">
        <f>IF(ISNUMBER(N128),N128&lt;20,FALSE)</f>
        <v/>
      </c>
      <c r="Q128">
        <f>IF(AND(ISNUMBER(E108),ISNUMBER(E128)),AND(E128&gt;E108,B128&lt;=E128*1.01,B127&gt;E127*1.01),FALSE)</f>
        <v/>
      </c>
      <c r="R128">
        <f>FALSE</f>
        <v/>
      </c>
      <c r="S128">
        <f>IF(ISNUMBER(G128),B128&lt;G128,FALSE)</f>
        <v/>
      </c>
      <c r="T128">
        <f>OR(O128,P128,Q128,R128,S128)</f>
        <v/>
      </c>
    </row>
    <row r="129">
      <c r="A129">
        <f>IF(Prices!A129="","",Prices!A129)</f>
        <v/>
      </c>
      <c r="B129">
        <f>IF(Prices!E129="","",Prices!E129)</f>
        <v/>
      </c>
      <c r="C129">
        <f>IF(Prices!C129="","",Prices!C129)</f>
        <v/>
      </c>
      <c r="D129">
        <f>IF(Prices!D129="","",Prices!D129)</f>
        <v/>
      </c>
      <c r="E129">
        <f>AVERAGE(B80:B129)</f>
        <v/>
      </c>
      <c r="F129" t="inlineStr"/>
      <c r="G129">
        <f>AVERAGE(B110:B129)-2*STDEV.P(B110:B129)</f>
        <v/>
      </c>
      <c r="H129">
        <f>MAX(B129-B128,0)</f>
        <v/>
      </c>
      <c r="I129">
        <f>MAX(B128-B129,0)</f>
        <v/>
      </c>
      <c r="J129">
        <f>(J128*13+H129)/14</f>
        <v/>
      </c>
      <c r="K129">
        <f>(K128*13+I129)/14</f>
        <v/>
      </c>
      <c r="L129">
        <f>IF(K129=0,100,100-100/(1+J129/K129))</f>
        <v/>
      </c>
      <c r="M129">
        <f>IF(MAX(C116:C129)=MIN(D116:D129),50,100*(B129-MIN(D116:D129))/(MAX(C116:C129)-MIN(D116:D129)))</f>
        <v/>
      </c>
      <c r="N129">
        <f>AVERAGE(M127:M129)</f>
        <v/>
      </c>
      <c r="O129">
        <f>IF(ISNUMBER(L129),L129&lt;30,FALSE)</f>
        <v/>
      </c>
      <c r="P129">
        <f>IF(ISNUMBER(N129),N129&lt;20,FALSE)</f>
        <v/>
      </c>
      <c r="Q129">
        <f>IF(AND(ISNUMBER(E109),ISNUMBER(E129)),AND(E129&gt;E109,B129&lt;=E129*1.01,B128&gt;E128*1.01),FALSE)</f>
        <v/>
      </c>
      <c r="R129">
        <f>FALSE</f>
        <v/>
      </c>
      <c r="S129">
        <f>IF(ISNUMBER(G129),B129&lt;G129,FALSE)</f>
        <v/>
      </c>
      <c r="T129">
        <f>OR(O129,P129,Q129,R129,S129)</f>
        <v/>
      </c>
    </row>
    <row r="130">
      <c r="A130">
        <f>IF(Prices!A130="","",Prices!A130)</f>
        <v/>
      </c>
      <c r="B130">
        <f>IF(Prices!E130="","",Prices!E130)</f>
        <v/>
      </c>
      <c r="C130">
        <f>IF(Prices!C130="","",Prices!C130)</f>
        <v/>
      </c>
      <c r="D130">
        <f>IF(Prices!D130="","",Prices!D130)</f>
        <v/>
      </c>
      <c r="E130">
        <f>AVERAGE(B81:B130)</f>
        <v/>
      </c>
      <c r="F130" t="inlineStr"/>
      <c r="G130">
        <f>AVERAGE(B111:B130)-2*STDEV.P(B111:B130)</f>
        <v/>
      </c>
      <c r="H130">
        <f>MAX(B130-B129,0)</f>
        <v/>
      </c>
      <c r="I130">
        <f>MAX(B129-B130,0)</f>
        <v/>
      </c>
      <c r="J130">
        <f>(J129*13+H130)/14</f>
        <v/>
      </c>
      <c r="K130">
        <f>(K129*13+I130)/14</f>
        <v/>
      </c>
      <c r="L130">
        <f>IF(K130=0,100,100-100/(1+J130/K130))</f>
        <v/>
      </c>
      <c r="M130">
        <f>IF(MAX(C117:C130)=MIN(D117:D130),50,100*(B130-MIN(D117:D130))/(MAX(C117:C130)-MIN(D117:D130)))</f>
        <v/>
      </c>
      <c r="N130">
        <f>AVERAGE(M128:M130)</f>
        <v/>
      </c>
      <c r="O130">
        <f>IF(ISNUMBER(L130),L130&lt;30,FALSE)</f>
        <v/>
      </c>
      <c r="P130">
        <f>IF(ISNUMBER(N130),N130&lt;20,FALSE)</f>
        <v/>
      </c>
      <c r="Q130">
        <f>IF(AND(ISNUMBER(E110),ISNUMBER(E130)),AND(E130&gt;E110,B130&lt;=E130*1.01,B129&gt;E129*1.01),FALSE)</f>
        <v/>
      </c>
      <c r="R130">
        <f>FALSE</f>
        <v/>
      </c>
      <c r="S130">
        <f>IF(ISNUMBER(G130),B130&lt;G130,FALSE)</f>
        <v/>
      </c>
      <c r="T130">
        <f>OR(O130,P130,Q130,R130,S130)</f>
        <v/>
      </c>
    </row>
    <row r="131">
      <c r="A131">
        <f>IF(Prices!A131="","",Prices!A131)</f>
        <v/>
      </c>
      <c r="B131">
        <f>IF(Prices!E131="","",Prices!E131)</f>
        <v/>
      </c>
      <c r="C131">
        <f>IF(Prices!C131="","",Prices!C131)</f>
        <v/>
      </c>
      <c r="D131">
        <f>IF(Prices!D131="","",Prices!D131)</f>
        <v/>
      </c>
      <c r="E131">
        <f>AVERAGE(B82:B131)</f>
        <v/>
      </c>
      <c r="F131" t="inlineStr"/>
      <c r="G131">
        <f>AVERAGE(B112:B131)-2*STDEV.P(B112:B131)</f>
        <v/>
      </c>
      <c r="H131">
        <f>MAX(B131-B130,0)</f>
        <v/>
      </c>
      <c r="I131">
        <f>MAX(B130-B131,0)</f>
        <v/>
      </c>
      <c r="J131">
        <f>(J130*13+H131)/14</f>
        <v/>
      </c>
      <c r="K131">
        <f>(K130*13+I131)/14</f>
        <v/>
      </c>
      <c r="L131">
        <f>IF(K131=0,100,100-100/(1+J131/K131))</f>
        <v/>
      </c>
      <c r="M131">
        <f>IF(MAX(C118:C131)=MIN(D118:D131),50,100*(B131-MIN(D118:D131))/(MAX(C118:C131)-MIN(D118:D131)))</f>
        <v/>
      </c>
      <c r="N131">
        <f>AVERAGE(M129:M131)</f>
        <v/>
      </c>
      <c r="O131">
        <f>IF(ISNUMBER(L131),L131&lt;30,FALSE)</f>
        <v/>
      </c>
      <c r="P131">
        <f>IF(ISNUMBER(N131),N131&lt;20,FALSE)</f>
        <v/>
      </c>
      <c r="Q131">
        <f>IF(AND(ISNUMBER(E111),ISNUMBER(E131)),AND(E131&gt;E111,B131&lt;=E131*1.01,B130&gt;E130*1.01),FALSE)</f>
        <v/>
      </c>
      <c r="R131">
        <f>FALSE</f>
        <v/>
      </c>
      <c r="S131">
        <f>IF(ISNUMBER(G131),B131&lt;G131,FALSE)</f>
        <v/>
      </c>
      <c r="T131">
        <f>OR(O131,P131,Q131,R131,S131)</f>
        <v/>
      </c>
    </row>
    <row r="132">
      <c r="A132">
        <f>IF(Prices!A132="","",Prices!A132)</f>
        <v/>
      </c>
      <c r="B132">
        <f>IF(Prices!E132="","",Prices!E132)</f>
        <v/>
      </c>
      <c r="C132">
        <f>IF(Prices!C132="","",Prices!C132)</f>
        <v/>
      </c>
      <c r="D132">
        <f>IF(Prices!D132="","",Prices!D132)</f>
        <v/>
      </c>
      <c r="E132">
        <f>AVERAGE(B83:B132)</f>
        <v/>
      </c>
      <c r="F132" t="inlineStr"/>
      <c r="G132">
        <f>AVERAGE(B113:B132)-2*STDEV.P(B113:B132)</f>
        <v/>
      </c>
      <c r="H132">
        <f>MAX(B132-B131,0)</f>
        <v/>
      </c>
      <c r="I132">
        <f>MAX(B131-B132,0)</f>
        <v/>
      </c>
      <c r="J132">
        <f>(J131*13+H132)/14</f>
        <v/>
      </c>
      <c r="K132">
        <f>(K131*13+I132)/14</f>
        <v/>
      </c>
      <c r="L132">
        <f>IF(K132=0,100,100-100/(1+J132/K132))</f>
        <v/>
      </c>
      <c r="M132">
        <f>IF(MAX(C119:C132)=MIN(D119:D132),50,100*(B132-MIN(D119:D132))/(MAX(C119:C132)-MIN(D119:D132)))</f>
        <v/>
      </c>
      <c r="N132">
        <f>AVERAGE(M130:M132)</f>
        <v/>
      </c>
      <c r="O132">
        <f>IF(ISNUMBER(L132),L132&lt;30,FALSE)</f>
        <v/>
      </c>
      <c r="P132">
        <f>IF(ISNUMBER(N132),N132&lt;20,FALSE)</f>
        <v/>
      </c>
      <c r="Q132">
        <f>IF(AND(ISNUMBER(E112),ISNUMBER(E132)),AND(E132&gt;E112,B132&lt;=E132*1.01,B131&gt;E131*1.01),FALSE)</f>
        <v/>
      </c>
      <c r="R132">
        <f>FALSE</f>
        <v/>
      </c>
      <c r="S132">
        <f>IF(ISNUMBER(G132),B132&lt;G132,FALSE)</f>
        <v/>
      </c>
      <c r="T132">
        <f>OR(O132,P132,Q132,R132,S132)</f>
        <v/>
      </c>
    </row>
    <row r="133">
      <c r="A133">
        <f>IF(Prices!A133="","",Prices!A133)</f>
        <v/>
      </c>
      <c r="B133">
        <f>IF(Prices!E133="","",Prices!E133)</f>
        <v/>
      </c>
      <c r="C133">
        <f>IF(Prices!C133="","",Prices!C133)</f>
        <v/>
      </c>
      <c r="D133">
        <f>IF(Prices!D133="","",Prices!D133)</f>
        <v/>
      </c>
      <c r="E133">
        <f>AVERAGE(B84:B133)</f>
        <v/>
      </c>
      <c r="F133" t="inlineStr"/>
      <c r="G133">
        <f>AVERAGE(B114:B133)-2*STDEV.P(B114:B133)</f>
        <v/>
      </c>
      <c r="H133">
        <f>MAX(B133-B132,0)</f>
        <v/>
      </c>
      <c r="I133">
        <f>MAX(B132-B133,0)</f>
        <v/>
      </c>
      <c r="J133">
        <f>(J132*13+H133)/14</f>
        <v/>
      </c>
      <c r="K133">
        <f>(K132*13+I133)/14</f>
        <v/>
      </c>
      <c r="L133">
        <f>IF(K133=0,100,100-100/(1+J133/K133))</f>
        <v/>
      </c>
      <c r="M133">
        <f>IF(MAX(C120:C133)=MIN(D120:D133),50,100*(B133-MIN(D120:D133))/(MAX(C120:C133)-MIN(D120:D133)))</f>
        <v/>
      </c>
      <c r="N133">
        <f>AVERAGE(M131:M133)</f>
        <v/>
      </c>
      <c r="O133">
        <f>IF(ISNUMBER(L133),L133&lt;30,FALSE)</f>
        <v/>
      </c>
      <c r="P133">
        <f>IF(ISNUMBER(N133),N133&lt;20,FALSE)</f>
        <v/>
      </c>
      <c r="Q133">
        <f>IF(AND(ISNUMBER(E113),ISNUMBER(E133)),AND(E133&gt;E113,B133&lt;=E133*1.01,B132&gt;E132*1.01),FALSE)</f>
        <v/>
      </c>
      <c r="R133">
        <f>FALSE</f>
        <v/>
      </c>
      <c r="S133">
        <f>IF(ISNUMBER(G133),B133&lt;G133,FALSE)</f>
        <v/>
      </c>
      <c r="T133">
        <f>OR(O133,P133,Q133,R133,S133)</f>
        <v/>
      </c>
    </row>
    <row r="134">
      <c r="A134">
        <f>IF(Prices!A134="","",Prices!A134)</f>
        <v/>
      </c>
      <c r="B134">
        <f>IF(Prices!E134="","",Prices!E134)</f>
        <v/>
      </c>
      <c r="C134">
        <f>IF(Prices!C134="","",Prices!C134)</f>
        <v/>
      </c>
      <c r="D134">
        <f>IF(Prices!D134="","",Prices!D134)</f>
        <v/>
      </c>
      <c r="E134">
        <f>AVERAGE(B85:B134)</f>
        <v/>
      </c>
      <c r="F134" t="inlineStr"/>
      <c r="G134">
        <f>AVERAGE(B115:B134)-2*STDEV.P(B115:B134)</f>
        <v/>
      </c>
      <c r="H134">
        <f>MAX(B134-B133,0)</f>
        <v/>
      </c>
      <c r="I134">
        <f>MAX(B133-B134,0)</f>
        <v/>
      </c>
      <c r="J134">
        <f>(J133*13+H134)/14</f>
        <v/>
      </c>
      <c r="K134">
        <f>(K133*13+I134)/14</f>
        <v/>
      </c>
      <c r="L134">
        <f>IF(K134=0,100,100-100/(1+J134/K134))</f>
        <v/>
      </c>
      <c r="M134">
        <f>IF(MAX(C121:C134)=MIN(D121:D134),50,100*(B134-MIN(D121:D134))/(MAX(C121:C134)-MIN(D121:D134)))</f>
        <v/>
      </c>
      <c r="N134">
        <f>AVERAGE(M132:M134)</f>
        <v/>
      </c>
      <c r="O134">
        <f>IF(ISNUMBER(L134),L134&lt;30,FALSE)</f>
        <v/>
      </c>
      <c r="P134">
        <f>IF(ISNUMBER(N134),N134&lt;20,FALSE)</f>
        <v/>
      </c>
      <c r="Q134">
        <f>IF(AND(ISNUMBER(E114),ISNUMBER(E134)),AND(E134&gt;E114,B134&lt;=E134*1.01,B133&gt;E133*1.01),FALSE)</f>
        <v/>
      </c>
      <c r="R134">
        <f>FALSE</f>
        <v/>
      </c>
      <c r="S134">
        <f>IF(ISNUMBER(G134),B134&lt;G134,FALSE)</f>
        <v/>
      </c>
      <c r="T134">
        <f>OR(O134,P134,Q134,R134,S134)</f>
        <v/>
      </c>
    </row>
    <row r="135">
      <c r="A135">
        <f>IF(Prices!A135="","",Prices!A135)</f>
        <v/>
      </c>
      <c r="B135">
        <f>IF(Prices!E135="","",Prices!E135)</f>
        <v/>
      </c>
      <c r="C135">
        <f>IF(Prices!C135="","",Prices!C135)</f>
        <v/>
      </c>
      <c r="D135">
        <f>IF(Prices!D135="","",Prices!D135)</f>
        <v/>
      </c>
      <c r="E135">
        <f>AVERAGE(B86:B135)</f>
        <v/>
      </c>
      <c r="F135" t="inlineStr"/>
      <c r="G135">
        <f>AVERAGE(B116:B135)-2*STDEV.P(B116:B135)</f>
        <v/>
      </c>
      <c r="H135">
        <f>MAX(B135-B134,0)</f>
        <v/>
      </c>
      <c r="I135">
        <f>MAX(B134-B135,0)</f>
        <v/>
      </c>
      <c r="J135">
        <f>(J134*13+H135)/14</f>
        <v/>
      </c>
      <c r="K135">
        <f>(K134*13+I135)/14</f>
        <v/>
      </c>
      <c r="L135">
        <f>IF(K135=0,100,100-100/(1+J135/K135))</f>
        <v/>
      </c>
      <c r="M135">
        <f>IF(MAX(C122:C135)=MIN(D122:D135),50,100*(B135-MIN(D122:D135))/(MAX(C122:C135)-MIN(D122:D135)))</f>
        <v/>
      </c>
      <c r="N135">
        <f>AVERAGE(M133:M135)</f>
        <v/>
      </c>
      <c r="O135">
        <f>IF(ISNUMBER(L135),L135&lt;30,FALSE)</f>
        <v/>
      </c>
      <c r="P135">
        <f>IF(ISNUMBER(N135),N135&lt;20,FALSE)</f>
        <v/>
      </c>
      <c r="Q135">
        <f>IF(AND(ISNUMBER(E115),ISNUMBER(E135)),AND(E135&gt;E115,B135&lt;=E135*1.01,B134&gt;E134*1.01),FALSE)</f>
        <v/>
      </c>
      <c r="R135">
        <f>FALSE</f>
        <v/>
      </c>
      <c r="S135">
        <f>IF(ISNUMBER(G135),B135&lt;G135,FALSE)</f>
        <v/>
      </c>
      <c r="T135">
        <f>OR(O135,P135,Q135,R135,S135)</f>
        <v/>
      </c>
    </row>
    <row r="136">
      <c r="A136">
        <f>IF(Prices!A136="","",Prices!A136)</f>
        <v/>
      </c>
      <c r="B136">
        <f>IF(Prices!E136="","",Prices!E136)</f>
        <v/>
      </c>
      <c r="C136">
        <f>IF(Prices!C136="","",Prices!C136)</f>
        <v/>
      </c>
      <c r="D136">
        <f>IF(Prices!D136="","",Prices!D136)</f>
        <v/>
      </c>
      <c r="E136">
        <f>AVERAGE(B87:B136)</f>
        <v/>
      </c>
      <c r="F136" t="inlineStr"/>
      <c r="G136">
        <f>AVERAGE(B117:B136)-2*STDEV.P(B117:B136)</f>
        <v/>
      </c>
      <c r="H136">
        <f>MAX(B136-B135,0)</f>
        <v/>
      </c>
      <c r="I136">
        <f>MAX(B135-B136,0)</f>
        <v/>
      </c>
      <c r="J136">
        <f>(J135*13+H136)/14</f>
        <v/>
      </c>
      <c r="K136">
        <f>(K135*13+I136)/14</f>
        <v/>
      </c>
      <c r="L136">
        <f>IF(K136=0,100,100-100/(1+J136/K136))</f>
        <v/>
      </c>
      <c r="M136">
        <f>IF(MAX(C123:C136)=MIN(D123:D136),50,100*(B136-MIN(D123:D136))/(MAX(C123:C136)-MIN(D123:D136)))</f>
        <v/>
      </c>
      <c r="N136">
        <f>AVERAGE(M134:M136)</f>
        <v/>
      </c>
      <c r="O136">
        <f>IF(ISNUMBER(L136),L136&lt;30,FALSE)</f>
        <v/>
      </c>
      <c r="P136">
        <f>IF(ISNUMBER(N136),N136&lt;20,FALSE)</f>
        <v/>
      </c>
      <c r="Q136">
        <f>IF(AND(ISNUMBER(E116),ISNUMBER(E136)),AND(E136&gt;E116,B136&lt;=E136*1.01,B135&gt;E135*1.01),FALSE)</f>
        <v/>
      </c>
      <c r="R136">
        <f>FALSE</f>
        <v/>
      </c>
      <c r="S136">
        <f>IF(ISNUMBER(G136),B136&lt;G136,FALSE)</f>
        <v/>
      </c>
      <c r="T136">
        <f>OR(O136,P136,Q136,R136,S136)</f>
        <v/>
      </c>
    </row>
    <row r="137">
      <c r="A137">
        <f>IF(Prices!A137="","",Prices!A137)</f>
        <v/>
      </c>
      <c r="B137">
        <f>IF(Prices!E137="","",Prices!E137)</f>
        <v/>
      </c>
      <c r="C137">
        <f>IF(Prices!C137="","",Prices!C137)</f>
        <v/>
      </c>
      <c r="D137">
        <f>IF(Prices!D137="","",Prices!D137)</f>
        <v/>
      </c>
      <c r="E137">
        <f>AVERAGE(B88:B137)</f>
        <v/>
      </c>
      <c r="F137" t="inlineStr"/>
      <c r="G137">
        <f>AVERAGE(B118:B137)-2*STDEV.P(B118:B137)</f>
        <v/>
      </c>
      <c r="H137">
        <f>MAX(B137-B136,0)</f>
        <v/>
      </c>
      <c r="I137">
        <f>MAX(B136-B137,0)</f>
        <v/>
      </c>
      <c r="J137">
        <f>(J136*13+H137)/14</f>
        <v/>
      </c>
      <c r="K137">
        <f>(K136*13+I137)/14</f>
        <v/>
      </c>
      <c r="L137">
        <f>IF(K137=0,100,100-100/(1+J137/K137))</f>
        <v/>
      </c>
      <c r="M137">
        <f>IF(MAX(C124:C137)=MIN(D124:D137),50,100*(B137-MIN(D124:D137))/(MAX(C124:C137)-MIN(D124:D137)))</f>
        <v/>
      </c>
      <c r="N137">
        <f>AVERAGE(M135:M137)</f>
        <v/>
      </c>
      <c r="O137">
        <f>IF(ISNUMBER(L137),L137&lt;30,FALSE)</f>
        <v/>
      </c>
      <c r="P137">
        <f>IF(ISNUMBER(N137),N137&lt;20,FALSE)</f>
        <v/>
      </c>
      <c r="Q137">
        <f>IF(AND(ISNUMBER(E117),ISNUMBER(E137)),AND(E137&gt;E117,B137&lt;=E137*1.01,B136&gt;E136*1.01),FALSE)</f>
        <v/>
      </c>
      <c r="R137">
        <f>FALSE</f>
        <v/>
      </c>
      <c r="S137">
        <f>IF(ISNUMBER(G137),B137&lt;G137,FALSE)</f>
        <v/>
      </c>
      <c r="T137">
        <f>OR(O137,P137,Q137,R137,S137)</f>
        <v/>
      </c>
    </row>
    <row r="138">
      <c r="A138">
        <f>IF(Prices!A138="","",Prices!A138)</f>
        <v/>
      </c>
      <c r="B138">
        <f>IF(Prices!E138="","",Prices!E138)</f>
        <v/>
      </c>
      <c r="C138">
        <f>IF(Prices!C138="","",Prices!C138)</f>
        <v/>
      </c>
      <c r="D138">
        <f>IF(Prices!D138="","",Prices!D138)</f>
        <v/>
      </c>
      <c r="E138">
        <f>AVERAGE(B89:B138)</f>
        <v/>
      </c>
      <c r="F138" t="inlineStr"/>
      <c r="G138">
        <f>AVERAGE(B119:B138)-2*STDEV.P(B119:B138)</f>
        <v/>
      </c>
      <c r="H138">
        <f>MAX(B138-B137,0)</f>
        <v/>
      </c>
      <c r="I138">
        <f>MAX(B137-B138,0)</f>
        <v/>
      </c>
      <c r="J138">
        <f>(J137*13+H138)/14</f>
        <v/>
      </c>
      <c r="K138">
        <f>(K137*13+I138)/14</f>
        <v/>
      </c>
      <c r="L138">
        <f>IF(K138=0,100,100-100/(1+J138/K138))</f>
        <v/>
      </c>
      <c r="M138">
        <f>IF(MAX(C125:C138)=MIN(D125:D138),50,100*(B138-MIN(D125:D138))/(MAX(C125:C138)-MIN(D125:D138)))</f>
        <v/>
      </c>
      <c r="N138">
        <f>AVERAGE(M136:M138)</f>
        <v/>
      </c>
      <c r="O138">
        <f>IF(ISNUMBER(L138),L138&lt;30,FALSE)</f>
        <v/>
      </c>
      <c r="P138">
        <f>IF(ISNUMBER(N138),N138&lt;20,FALSE)</f>
        <v/>
      </c>
      <c r="Q138">
        <f>IF(AND(ISNUMBER(E118),ISNUMBER(E138)),AND(E138&gt;E118,B138&lt;=E138*1.01,B137&gt;E137*1.01),FALSE)</f>
        <v/>
      </c>
      <c r="R138">
        <f>FALSE</f>
        <v/>
      </c>
      <c r="S138">
        <f>IF(ISNUMBER(G138),B138&lt;G138,FALSE)</f>
        <v/>
      </c>
      <c r="T138">
        <f>OR(O138,P138,Q138,R138,S138)</f>
        <v/>
      </c>
    </row>
    <row r="139">
      <c r="A139">
        <f>IF(Prices!A139="","",Prices!A139)</f>
        <v/>
      </c>
      <c r="B139">
        <f>IF(Prices!E139="","",Prices!E139)</f>
        <v/>
      </c>
      <c r="C139">
        <f>IF(Prices!C139="","",Prices!C139)</f>
        <v/>
      </c>
      <c r="D139">
        <f>IF(Prices!D139="","",Prices!D139)</f>
        <v/>
      </c>
      <c r="E139">
        <f>AVERAGE(B90:B139)</f>
        <v/>
      </c>
      <c r="F139" t="inlineStr"/>
      <c r="G139">
        <f>AVERAGE(B120:B139)-2*STDEV.P(B120:B139)</f>
        <v/>
      </c>
      <c r="H139">
        <f>MAX(B139-B138,0)</f>
        <v/>
      </c>
      <c r="I139">
        <f>MAX(B138-B139,0)</f>
        <v/>
      </c>
      <c r="J139">
        <f>(J138*13+H139)/14</f>
        <v/>
      </c>
      <c r="K139">
        <f>(K138*13+I139)/14</f>
        <v/>
      </c>
      <c r="L139">
        <f>IF(K139=0,100,100-100/(1+J139/K139))</f>
        <v/>
      </c>
      <c r="M139">
        <f>IF(MAX(C126:C139)=MIN(D126:D139),50,100*(B139-MIN(D126:D139))/(MAX(C126:C139)-MIN(D126:D139)))</f>
        <v/>
      </c>
      <c r="N139">
        <f>AVERAGE(M137:M139)</f>
        <v/>
      </c>
      <c r="O139">
        <f>IF(ISNUMBER(L139),L139&lt;30,FALSE)</f>
        <v/>
      </c>
      <c r="P139">
        <f>IF(ISNUMBER(N139),N139&lt;20,FALSE)</f>
        <v/>
      </c>
      <c r="Q139">
        <f>IF(AND(ISNUMBER(E119),ISNUMBER(E139)),AND(E139&gt;E119,B139&lt;=E139*1.01,B138&gt;E138*1.01),FALSE)</f>
        <v/>
      </c>
      <c r="R139">
        <f>FALSE</f>
        <v/>
      </c>
      <c r="S139">
        <f>IF(ISNUMBER(G139),B139&lt;G139,FALSE)</f>
        <v/>
      </c>
      <c r="T139">
        <f>OR(O139,P139,Q139,R139,S139)</f>
        <v/>
      </c>
    </row>
    <row r="140">
      <c r="A140">
        <f>IF(Prices!A140="","",Prices!A140)</f>
        <v/>
      </c>
      <c r="B140">
        <f>IF(Prices!E140="","",Prices!E140)</f>
        <v/>
      </c>
      <c r="C140">
        <f>IF(Prices!C140="","",Prices!C140)</f>
        <v/>
      </c>
      <c r="D140">
        <f>IF(Prices!D140="","",Prices!D140)</f>
        <v/>
      </c>
      <c r="E140">
        <f>AVERAGE(B91:B140)</f>
        <v/>
      </c>
      <c r="F140" t="inlineStr"/>
      <c r="G140">
        <f>AVERAGE(B121:B140)-2*STDEV.P(B121:B140)</f>
        <v/>
      </c>
      <c r="H140">
        <f>MAX(B140-B139,0)</f>
        <v/>
      </c>
      <c r="I140">
        <f>MAX(B139-B140,0)</f>
        <v/>
      </c>
      <c r="J140">
        <f>(J139*13+H140)/14</f>
        <v/>
      </c>
      <c r="K140">
        <f>(K139*13+I140)/14</f>
        <v/>
      </c>
      <c r="L140">
        <f>IF(K140=0,100,100-100/(1+J140/K140))</f>
        <v/>
      </c>
      <c r="M140">
        <f>IF(MAX(C127:C140)=MIN(D127:D140),50,100*(B140-MIN(D127:D140))/(MAX(C127:C140)-MIN(D127:D140)))</f>
        <v/>
      </c>
      <c r="N140">
        <f>AVERAGE(M138:M140)</f>
        <v/>
      </c>
      <c r="O140">
        <f>IF(ISNUMBER(L140),L140&lt;30,FALSE)</f>
        <v/>
      </c>
      <c r="P140">
        <f>IF(ISNUMBER(N140),N140&lt;20,FALSE)</f>
        <v/>
      </c>
      <c r="Q140">
        <f>IF(AND(ISNUMBER(E120),ISNUMBER(E140)),AND(E140&gt;E120,B140&lt;=E140*1.01,B139&gt;E139*1.01),FALSE)</f>
        <v/>
      </c>
      <c r="R140">
        <f>FALSE</f>
        <v/>
      </c>
      <c r="S140">
        <f>IF(ISNUMBER(G140),B140&lt;G140,FALSE)</f>
        <v/>
      </c>
      <c r="T140">
        <f>OR(O140,P140,Q140,R140,S140)</f>
        <v/>
      </c>
    </row>
    <row r="141">
      <c r="A141">
        <f>IF(Prices!A141="","",Prices!A141)</f>
        <v/>
      </c>
      <c r="B141">
        <f>IF(Prices!E141="","",Prices!E141)</f>
        <v/>
      </c>
      <c r="C141">
        <f>IF(Prices!C141="","",Prices!C141)</f>
        <v/>
      </c>
      <c r="D141">
        <f>IF(Prices!D141="","",Prices!D141)</f>
        <v/>
      </c>
      <c r="E141">
        <f>AVERAGE(B92:B141)</f>
        <v/>
      </c>
      <c r="F141" t="inlineStr"/>
      <c r="G141">
        <f>AVERAGE(B122:B141)-2*STDEV.P(B122:B141)</f>
        <v/>
      </c>
      <c r="H141">
        <f>MAX(B141-B140,0)</f>
        <v/>
      </c>
      <c r="I141">
        <f>MAX(B140-B141,0)</f>
        <v/>
      </c>
      <c r="J141">
        <f>(J140*13+H141)/14</f>
        <v/>
      </c>
      <c r="K141">
        <f>(K140*13+I141)/14</f>
        <v/>
      </c>
      <c r="L141">
        <f>IF(K141=0,100,100-100/(1+J141/K141))</f>
        <v/>
      </c>
      <c r="M141">
        <f>IF(MAX(C128:C141)=MIN(D128:D141),50,100*(B141-MIN(D128:D141))/(MAX(C128:C141)-MIN(D128:D141)))</f>
        <v/>
      </c>
      <c r="N141">
        <f>AVERAGE(M139:M141)</f>
        <v/>
      </c>
      <c r="O141">
        <f>IF(ISNUMBER(L141),L141&lt;30,FALSE)</f>
        <v/>
      </c>
      <c r="P141">
        <f>IF(ISNUMBER(N141),N141&lt;20,FALSE)</f>
        <v/>
      </c>
      <c r="Q141">
        <f>IF(AND(ISNUMBER(E121),ISNUMBER(E141)),AND(E141&gt;E121,B141&lt;=E141*1.01,B140&gt;E140*1.01),FALSE)</f>
        <v/>
      </c>
      <c r="R141">
        <f>FALSE</f>
        <v/>
      </c>
      <c r="S141">
        <f>IF(ISNUMBER(G141),B141&lt;G141,FALSE)</f>
        <v/>
      </c>
      <c r="T141">
        <f>OR(O141,P141,Q141,R141,S141)</f>
        <v/>
      </c>
    </row>
    <row r="142">
      <c r="A142">
        <f>IF(Prices!A142="","",Prices!A142)</f>
        <v/>
      </c>
      <c r="B142">
        <f>IF(Prices!E142="","",Prices!E142)</f>
        <v/>
      </c>
      <c r="C142">
        <f>IF(Prices!C142="","",Prices!C142)</f>
        <v/>
      </c>
      <c r="D142">
        <f>IF(Prices!D142="","",Prices!D142)</f>
        <v/>
      </c>
      <c r="E142">
        <f>AVERAGE(B93:B142)</f>
        <v/>
      </c>
      <c r="F142" t="inlineStr"/>
      <c r="G142">
        <f>AVERAGE(B123:B142)-2*STDEV.P(B123:B142)</f>
        <v/>
      </c>
      <c r="H142">
        <f>MAX(B142-B141,0)</f>
        <v/>
      </c>
      <c r="I142">
        <f>MAX(B141-B142,0)</f>
        <v/>
      </c>
      <c r="J142">
        <f>(J141*13+H142)/14</f>
        <v/>
      </c>
      <c r="K142">
        <f>(K141*13+I142)/14</f>
        <v/>
      </c>
      <c r="L142">
        <f>IF(K142=0,100,100-100/(1+J142/K142))</f>
        <v/>
      </c>
      <c r="M142">
        <f>IF(MAX(C129:C142)=MIN(D129:D142),50,100*(B142-MIN(D129:D142))/(MAX(C129:C142)-MIN(D129:D142)))</f>
        <v/>
      </c>
      <c r="N142">
        <f>AVERAGE(M140:M142)</f>
        <v/>
      </c>
      <c r="O142">
        <f>IF(ISNUMBER(L142),L142&lt;30,FALSE)</f>
        <v/>
      </c>
      <c r="P142">
        <f>IF(ISNUMBER(N142),N142&lt;20,FALSE)</f>
        <v/>
      </c>
      <c r="Q142">
        <f>IF(AND(ISNUMBER(E122),ISNUMBER(E142)),AND(E142&gt;E122,B142&lt;=E142*1.01,B141&gt;E141*1.01),FALSE)</f>
        <v/>
      </c>
      <c r="R142">
        <f>FALSE</f>
        <v/>
      </c>
      <c r="S142">
        <f>IF(ISNUMBER(G142),B142&lt;G142,FALSE)</f>
        <v/>
      </c>
      <c r="T142">
        <f>OR(O142,P142,Q142,R142,S142)</f>
        <v/>
      </c>
    </row>
    <row r="143">
      <c r="A143">
        <f>IF(Prices!A143="","",Prices!A143)</f>
        <v/>
      </c>
      <c r="B143">
        <f>IF(Prices!E143="","",Prices!E143)</f>
        <v/>
      </c>
      <c r="C143">
        <f>IF(Prices!C143="","",Prices!C143)</f>
        <v/>
      </c>
      <c r="D143">
        <f>IF(Prices!D143="","",Prices!D143)</f>
        <v/>
      </c>
      <c r="E143">
        <f>AVERAGE(B94:B143)</f>
        <v/>
      </c>
      <c r="F143" t="inlineStr"/>
      <c r="G143">
        <f>AVERAGE(B124:B143)-2*STDEV.P(B124:B143)</f>
        <v/>
      </c>
      <c r="H143">
        <f>MAX(B143-B142,0)</f>
        <v/>
      </c>
      <c r="I143">
        <f>MAX(B142-B143,0)</f>
        <v/>
      </c>
      <c r="J143">
        <f>(J142*13+H143)/14</f>
        <v/>
      </c>
      <c r="K143">
        <f>(K142*13+I143)/14</f>
        <v/>
      </c>
      <c r="L143">
        <f>IF(K143=0,100,100-100/(1+J143/K143))</f>
        <v/>
      </c>
      <c r="M143">
        <f>IF(MAX(C130:C143)=MIN(D130:D143),50,100*(B143-MIN(D130:D143))/(MAX(C130:C143)-MIN(D130:D143)))</f>
        <v/>
      </c>
      <c r="N143">
        <f>AVERAGE(M141:M143)</f>
        <v/>
      </c>
      <c r="O143">
        <f>IF(ISNUMBER(L143),L143&lt;30,FALSE)</f>
        <v/>
      </c>
      <c r="P143">
        <f>IF(ISNUMBER(N143),N143&lt;20,FALSE)</f>
        <v/>
      </c>
      <c r="Q143">
        <f>IF(AND(ISNUMBER(E123),ISNUMBER(E143)),AND(E143&gt;E123,B143&lt;=E143*1.01,B142&gt;E142*1.01),FALSE)</f>
        <v/>
      </c>
      <c r="R143">
        <f>FALSE</f>
        <v/>
      </c>
      <c r="S143">
        <f>IF(ISNUMBER(G143),B143&lt;G143,FALSE)</f>
        <v/>
      </c>
      <c r="T143">
        <f>OR(O143,P143,Q143,R143,S143)</f>
        <v/>
      </c>
    </row>
    <row r="144">
      <c r="A144">
        <f>IF(Prices!A144="","",Prices!A144)</f>
        <v/>
      </c>
      <c r="B144">
        <f>IF(Prices!E144="","",Prices!E144)</f>
        <v/>
      </c>
      <c r="C144">
        <f>IF(Prices!C144="","",Prices!C144)</f>
        <v/>
      </c>
      <c r="D144">
        <f>IF(Prices!D144="","",Prices!D144)</f>
        <v/>
      </c>
      <c r="E144">
        <f>AVERAGE(B95:B144)</f>
        <v/>
      </c>
      <c r="F144" t="inlineStr"/>
      <c r="G144">
        <f>AVERAGE(B125:B144)-2*STDEV.P(B125:B144)</f>
        <v/>
      </c>
      <c r="H144">
        <f>MAX(B144-B143,0)</f>
        <v/>
      </c>
      <c r="I144">
        <f>MAX(B143-B144,0)</f>
        <v/>
      </c>
      <c r="J144">
        <f>(J143*13+H144)/14</f>
        <v/>
      </c>
      <c r="K144">
        <f>(K143*13+I144)/14</f>
        <v/>
      </c>
      <c r="L144">
        <f>IF(K144=0,100,100-100/(1+J144/K144))</f>
        <v/>
      </c>
      <c r="M144">
        <f>IF(MAX(C131:C144)=MIN(D131:D144),50,100*(B144-MIN(D131:D144))/(MAX(C131:C144)-MIN(D131:D144)))</f>
        <v/>
      </c>
      <c r="N144">
        <f>AVERAGE(M142:M144)</f>
        <v/>
      </c>
      <c r="O144">
        <f>IF(ISNUMBER(L144),L144&lt;30,FALSE)</f>
        <v/>
      </c>
      <c r="P144">
        <f>IF(ISNUMBER(N144),N144&lt;20,FALSE)</f>
        <v/>
      </c>
      <c r="Q144">
        <f>IF(AND(ISNUMBER(E124),ISNUMBER(E144)),AND(E144&gt;E124,B144&lt;=E144*1.01,B143&gt;E143*1.01),FALSE)</f>
        <v/>
      </c>
      <c r="R144">
        <f>FALSE</f>
        <v/>
      </c>
      <c r="S144">
        <f>IF(ISNUMBER(G144),B144&lt;G144,FALSE)</f>
        <v/>
      </c>
      <c r="T144">
        <f>OR(O144,P144,Q144,R144,S144)</f>
        <v/>
      </c>
    </row>
    <row r="145">
      <c r="A145">
        <f>IF(Prices!A145="","",Prices!A145)</f>
        <v/>
      </c>
      <c r="B145">
        <f>IF(Prices!E145="","",Prices!E145)</f>
        <v/>
      </c>
      <c r="C145">
        <f>IF(Prices!C145="","",Prices!C145)</f>
        <v/>
      </c>
      <c r="D145">
        <f>IF(Prices!D145="","",Prices!D145)</f>
        <v/>
      </c>
      <c r="E145">
        <f>AVERAGE(B96:B145)</f>
        <v/>
      </c>
      <c r="F145" t="inlineStr"/>
      <c r="G145">
        <f>AVERAGE(B126:B145)-2*STDEV.P(B126:B145)</f>
        <v/>
      </c>
      <c r="H145">
        <f>MAX(B145-B144,0)</f>
        <v/>
      </c>
      <c r="I145">
        <f>MAX(B144-B145,0)</f>
        <v/>
      </c>
      <c r="J145">
        <f>(J144*13+H145)/14</f>
        <v/>
      </c>
      <c r="K145">
        <f>(K144*13+I145)/14</f>
        <v/>
      </c>
      <c r="L145">
        <f>IF(K145=0,100,100-100/(1+J145/K145))</f>
        <v/>
      </c>
      <c r="M145">
        <f>IF(MAX(C132:C145)=MIN(D132:D145),50,100*(B145-MIN(D132:D145))/(MAX(C132:C145)-MIN(D132:D145)))</f>
        <v/>
      </c>
      <c r="N145">
        <f>AVERAGE(M143:M145)</f>
        <v/>
      </c>
      <c r="O145">
        <f>IF(ISNUMBER(L145),L145&lt;30,FALSE)</f>
        <v/>
      </c>
      <c r="P145">
        <f>IF(ISNUMBER(N145),N145&lt;20,FALSE)</f>
        <v/>
      </c>
      <c r="Q145">
        <f>IF(AND(ISNUMBER(E125),ISNUMBER(E145)),AND(E145&gt;E125,B145&lt;=E145*1.01,B144&gt;E144*1.01),FALSE)</f>
        <v/>
      </c>
      <c r="R145">
        <f>FALSE</f>
        <v/>
      </c>
      <c r="S145">
        <f>IF(ISNUMBER(G145),B145&lt;G145,FALSE)</f>
        <v/>
      </c>
      <c r="T145">
        <f>OR(O145,P145,Q145,R145,S145)</f>
        <v/>
      </c>
    </row>
    <row r="146">
      <c r="A146">
        <f>IF(Prices!A146="","",Prices!A146)</f>
        <v/>
      </c>
      <c r="B146">
        <f>IF(Prices!E146="","",Prices!E146)</f>
        <v/>
      </c>
      <c r="C146">
        <f>IF(Prices!C146="","",Prices!C146)</f>
        <v/>
      </c>
      <c r="D146">
        <f>IF(Prices!D146="","",Prices!D146)</f>
        <v/>
      </c>
      <c r="E146">
        <f>AVERAGE(B97:B146)</f>
        <v/>
      </c>
      <c r="F146" t="inlineStr"/>
      <c r="G146">
        <f>AVERAGE(B127:B146)-2*STDEV.P(B127:B146)</f>
        <v/>
      </c>
      <c r="H146">
        <f>MAX(B146-B145,0)</f>
        <v/>
      </c>
      <c r="I146">
        <f>MAX(B145-B146,0)</f>
        <v/>
      </c>
      <c r="J146">
        <f>(J145*13+H146)/14</f>
        <v/>
      </c>
      <c r="K146">
        <f>(K145*13+I146)/14</f>
        <v/>
      </c>
      <c r="L146">
        <f>IF(K146=0,100,100-100/(1+J146/K146))</f>
        <v/>
      </c>
      <c r="M146">
        <f>IF(MAX(C133:C146)=MIN(D133:D146),50,100*(B146-MIN(D133:D146))/(MAX(C133:C146)-MIN(D133:D146)))</f>
        <v/>
      </c>
      <c r="N146">
        <f>AVERAGE(M144:M146)</f>
        <v/>
      </c>
      <c r="O146">
        <f>IF(ISNUMBER(L146),L146&lt;30,FALSE)</f>
        <v/>
      </c>
      <c r="P146">
        <f>IF(ISNUMBER(N146),N146&lt;20,FALSE)</f>
        <v/>
      </c>
      <c r="Q146">
        <f>IF(AND(ISNUMBER(E126),ISNUMBER(E146)),AND(E146&gt;E126,B146&lt;=E146*1.01,B145&gt;E145*1.01),FALSE)</f>
        <v/>
      </c>
      <c r="R146">
        <f>FALSE</f>
        <v/>
      </c>
      <c r="S146">
        <f>IF(ISNUMBER(G146),B146&lt;G146,FALSE)</f>
        <v/>
      </c>
      <c r="T146">
        <f>OR(O146,P146,Q146,R146,S146)</f>
        <v/>
      </c>
    </row>
    <row r="147">
      <c r="A147">
        <f>IF(Prices!A147="","",Prices!A147)</f>
        <v/>
      </c>
      <c r="B147">
        <f>IF(Prices!E147="","",Prices!E147)</f>
        <v/>
      </c>
      <c r="C147">
        <f>IF(Prices!C147="","",Prices!C147)</f>
        <v/>
      </c>
      <c r="D147">
        <f>IF(Prices!D147="","",Prices!D147)</f>
        <v/>
      </c>
      <c r="E147">
        <f>AVERAGE(B98:B147)</f>
        <v/>
      </c>
      <c r="F147" t="inlineStr"/>
      <c r="G147">
        <f>AVERAGE(B128:B147)-2*STDEV.P(B128:B147)</f>
        <v/>
      </c>
      <c r="H147">
        <f>MAX(B147-B146,0)</f>
        <v/>
      </c>
      <c r="I147">
        <f>MAX(B146-B147,0)</f>
        <v/>
      </c>
      <c r="J147">
        <f>(J146*13+H147)/14</f>
        <v/>
      </c>
      <c r="K147">
        <f>(K146*13+I147)/14</f>
        <v/>
      </c>
      <c r="L147">
        <f>IF(K147=0,100,100-100/(1+J147/K147))</f>
        <v/>
      </c>
      <c r="M147">
        <f>IF(MAX(C134:C147)=MIN(D134:D147),50,100*(B147-MIN(D134:D147))/(MAX(C134:C147)-MIN(D134:D147)))</f>
        <v/>
      </c>
      <c r="N147">
        <f>AVERAGE(M145:M147)</f>
        <v/>
      </c>
      <c r="O147">
        <f>IF(ISNUMBER(L147),L147&lt;30,FALSE)</f>
        <v/>
      </c>
      <c r="P147">
        <f>IF(ISNUMBER(N147),N147&lt;20,FALSE)</f>
        <v/>
      </c>
      <c r="Q147">
        <f>IF(AND(ISNUMBER(E127),ISNUMBER(E147)),AND(E147&gt;E127,B147&lt;=E147*1.01,B146&gt;E146*1.01),FALSE)</f>
        <v/>
      </c>
      <c r="R147">
        <f>FALSE</f>
        <v/>
      </c>
      <c r="S147">
        <f>IF(ISNUMBER(G147),B147&lt;G147,FALSE)</f>
        <v/>
      </c>
      <c r="T147">
        <f>OR(O147,P147,Q147,R147,S147)</f>
        <v/>
      </c>
    </row>
    <row r="148">
      <c r="A148">
        <f>IF(Prices!A148="","",Prices!A148)</f>
        <v/>
      </c>
      <c r="B148">
        <f>IF(Prices!E148="","",Prices!E148)</f>
        <v/>
      </c>
      <c r="C148">
        <f>IF(Prices!C148="","",Prices!C148)</f>
        <v/>
      </c>
      <c r="D148">
        <f>IF(Prices!D148="","",Prices!D148)</f>
        <v/>
      </c>
      <c r="E148">
        <f>AVERAGE(B99:B148)</f>
        <v/>
      </c>
      <c r="F148" t="inlineStr"/>
      <c r="G148">
        <f>AVERAGE(B129:B148)-2*STDEV.P(B129:B148)</f>
        <v/>
      </c>
      <c r="H148">
        <f>MAX(B148-B147,0)</f>
        <v/>
      </c>
      <c r="I148">
        <f>MAX(B147-B148,0)</f>
        <v/>
      </c>
      <c r="J148">
        <f>(J147*13+H148)/14</f>
        <v/>
      </c>
      <c r="K148">
        <f>(K147*13+I148)/14</f>
        <v/>
      </c>
      <c r="L148">
        <f>IF(K148=0,100,100-100/(1+J148/K148))</f>
        <v/>
      </c>
      <c r="M148">
        <f>IF(MAX(C135:C148)=MIN(D135:D148),50,100*(B148-MIN(D135:D148))/(MAX(C135:C148)-MIN(D135:D148)))</f>
        <v/>
      </c>
      <c r="N148">
        <f>AVERAGE(M146:M148)</f>
        <v/>
      </c>
      <c r="O148">
        <f>IF(ISNUMBER(L148),L148&lt;30,FALSE)</f>
        <v/>
      </c>
      <c r="P148">
        <f>IF(ISNUMBER(N148),N148&lt;20,FALSE)</f>
        <v/>
      </c>
      <c r="Q148">
        <f>IF(AND(ISNUMBER(E128),ISNUMBER(E148)),AND(E148&gt;E128,B148&lt;=E148*1.01,B147&gt;E147*1.01),FALSE)</f>
        <v/>
      </c>
      <c r="R148">
        <f>FALSE</f>
        <v/>
      </c>
      <c r="S148">
        <f>IF(ISNUMBER(G148),B148&lt;G148,FALSE)</f>
        <v/>
      </c>
      <c r="T148">
        <f>OR(O148,P148,Q148,R148,S148)</f>
        <v/>
      </c>
    </row>
    <row r="149">
      <c r="A149">
        <f>IF(Prices!A149="","",Prices!A149)</f>
        <v/>
      </c>
      <c r="B149">
        <f>IF(Prices!E149="","",Prices!E149)</f>
        <v/>
      </c>
      <c r="C149">
        <f>IF(Prices!C149="","",Prices!C149)</f>
        <v/>
      </c>
      <c r="D149">
        <f>IF(Prices!D149="","",Prices!D149)</f>
        <v/>
      </c>
      <c r="E149">
        <f>AVERAGE(B100:B149)</f>
        <v/>
      </c>
      <c r="F149" t="inlineStr"/>
      <c r="G149">
        <f>AVERAGE(B130:B149)-2*STDEV.P(B130:B149)</f>
        <v/>
      </c>
      <c r="H149">
        <f>MAX(B149-B148,0)</f>
        <v/>
      </c>
      <c r="I149">
        <f>MAX(B148-B149,0)</f>
        <v/>
      </c>
      <c r="J149">
        <f>(J148*13+H149)/14</f>
        <v/>
      </c>
      <c r="K149">
        <f>(K148*13+I149)/14</f>
        <v/>
      </c>
      <c r="L149">
        <f>IF(K149=0,100,100-100/(1+J149/K149))</f>
        <v/>
      </c>
      <c r="M149">
        <f>IF(MAX(C136:C149)=MIN(D136:D149),50,100*(B149-MIN(D136:D149))/(MAX(C136:C149)-MIN(D136:D149)))</f>
        <v/>
      </c>
      <c r="N149">
        <f>AVERAGE(M147:M149)</f>
        <v/>
      </c>
      <c r="O149">
        <f>IF(ISNUMBER(L149),L149&lt;30,FALSE)</f>
        <v/>
      </c>
      <c r="P149">
        <f>IF(ISNUMBER(N149),N149&lt;20,FALSE)</f>
        <v/>
      </c>
      <c r="Q149">
        <f>IF(AND(ISNUMBER(E129),ISNUMBER(E149)),AND(E149&gt;E129,B149&lt;=E149*1.01,B148&gt;E148*1.01),FALSE)</f>
        <v/>
      </c>
      <c r="R149">
        <f>FALSE</f>
        <v/>
      </c>
      <c r="S149">
        <f>IF(ISNUMBER(G149),B149&lt;G149,FALSE)</f>
        <v/>
      </c>
      <c r="T149">
        <f>OR(O149,P149,Q149,R149,S149)</f>
        <v/>
      </c>
    </row>
    <row r="150">
      <c r="A150">
        <f>IF(Prices!A150="","",Prices!A150)</f>
        <v/>
      </c>
      <c r="B150">
        <f>IF(Prices!E150="","",Prices!E150)</f>
        <v/>
      </c>
      <c r="C150">
        <f>IF(Prices!C150="","",Prices!C150)</f>
        <v/>
      </c>
      <c r="D150">
        <f>IF(Prices!D150="","",Prices!D150)</f>
        <v/>
      </c>
      <c r="E150">
        <f>AVERAGE(B101:B150)</f>
        <v/>
      </c>
      <c r="F150" t="inlineStr"/>
      <c r="G150">
        <f>AVERAGE(B131:B150)-2*STDEV.P(B131:B150)</f>
        <v/>
      </c>
      <c r="H150">
        <f>MAX(B150-B149,0)</f>
        <v/>
      </c>
      <c r="I150">
        <f>MAX(B149-B150,0)</f>
        <v/>
      </c>
      <c r="J150">
        <f>(J149*13+H150)/14</f>
        <v/>
      </c>
      <c r="K150">
        <f>(K149*13+I150)/14</f>
        <v/>
      </c>
      <c r="L150">
        <f>IF(K150=0,100,100-100/(1+J150/K150))</f>
        <v/>
      </c>
      <c r="M150">
        <f>IF(MAX(C137:C150)=MIN(D137:D150),50,100*(B150-MIN(D137:D150))/(MAX(C137:C150)-MIN(D137:D150)))</f>
        <v/>
      </c>
      <c r="N150">
        <f>AVERAGE(M148:M150)</f>
        <v/>
      </c>
      <c r="O150">
        <f>IF(ISNUMBER(L150),L150&lt;30,FALSE)</f>
        <v/>
      </c>
      <c r="P150">
        <f>IF(ISNUMBER(N150),N150&lt;20,FALSE)</f>
        <v/>
      </c>
      <c r="Q150">
        <f>IF(AND(ISNUMBER(E130),ISNUMBER(E150)),AND(E150&gt;E130,B150&lt;=E150*1.01,B149&gt;E149*1.01),FALSE)</f>
        <v/>
      </c>
      <c r="R150">
        <f>FALSE</f>
        <v/>
      </c>
      <c r="S150">
        <f>IF(ISNUMBER(G150),B150&lt;G150,FALSE)</f>
        <v/>
      </c>
      <c r="T150">
        <f>OR(O150,P150,Q150,R150,S150)</f>
        <v/>
      </c>
    </row>
    <row r="151">
      <c r="A151">
        <f>IF(Prices!A151="","",Prices!A151)</f>
        <v/>
      </c>
      <c r="B151">
        <f>IF(Prices!E151="","",Prices!E151)</f>
        <v/>
      </c>
      <c r="C151">
        <f>IF(Prices!C151="","",Prices!C151)</f>
        <v/>
      </c>
      <c r="D151">
        <f>IF(Prices!D151="","",Prices!D151)</f>
        <v/>
      </c>
      <c r="E151">
        <f>AVERAGE(B102:B151)</f>
        <v/>
      </c>
      <c r="F151" t="inlineStr"/>
      <c r="G151">
        <f>AVERAGE(B132:B151)-2*STDEV.P(B132:B151)</f>
        <v/>
      </c>
      <c r="H151">
        <f>MAX(B151-B150,0)</f>
        <v/>
      </c>
      <c r="I151">
        <f>MAX(B150-B151,0)</f>
        <v/>
      </c>
      <c r="J151">
        <f>(J150*13+H151)/14</f>
        <v/>
      </c>
      <c r="K151">
        <f>(K150*13+I151)/14</f>
        <v/>
      </c>
      <c r="L151">
        <f>IF(K151=0,100,100-100/(1+J151/K151))</f>
        <v/>
      </c>
      <c r="M151">
        <f>IF(MAX(C138:C151)=MIN(D138:D151),50,100*(B151-MIN(D138:D151))/(MAX(C138:C151)-MIN(D138:D151)))</f>
        <v/>
      </c>
      <c r="N151">
        <f>AVERAGE(M149:M151)</f>
        <v/>
      </c>
      <c r="O151">
        <f>IF(ISNUMBER(L151),L151&lt;30,FALSE)</f>
        <v/>
      </c>
      <c r="P151">
        <f>IF(ISNUMBER(N151),N151&lt;20,FALSE)</f>
        <v/>
      </c>
      <c r="Q151">
        <f>IF(AND(ISNUMBER(E131),ISNUMBER(E151)),AND(E151&gt;E131,B151&lt;=E151*1.01,B150&gt;E150*1.01),FALSE)</f>
        <v/>
      </c>
      <c r="R151">
        <f>FALSE</f>
        <v/>
      </c>
      <c r="S151">
        <f>IF(ISNUMBER(G151),B151&lt;G151,FALSE)</f>
        <v/>
      </c>
      <c r="T151">
        <f>OR(O151,P151,Q151,R151,S151)</f>
        <v/>
      </c>
    </row>
    <row r="152">
      <c r="A152">
        <f>IF(Prices!A152="","",Prices!A152)</f>
        <v/>
      </c>
      <c r="B152">
        <f>IF(Prices!E152="","",Prices!E152)</f>
        <v/>
      </c>
      <c r="C152">
        <f>IF(Prices!C152="","",Prices!C152)</f>
        <v/>
      </c>
      <c r="D152">
        <f>IF(Prices!D152="","",Prices!D152)</f>
        <v/>
      </c>
      <c r="E152">
        <f>AVERAGE(B103:B152)</f>
        <v/>
      </c>
      <c r="F152" t="inlineStr"/>
      <c r="G152">
        <f>AVERAGE(B133:B152)-2*STDEV.P(B133:B152)</f>
        <v/>
      </c>
      <c r="H152">
        <f>MAX(B152-B151,0)</f>
        <v/>
      </c>
      <c r="I152">
        <f>MAX(B151-B152,0)</f>
        <v/>
      </c>
      <c r="J152">
        <f>(J151*13+H152)/14</f>
        <v/>
      </c>
      <c r="K152">
        <f>(K151*13+I152)/14</f>
        <v/>
      </c>
      <c r="L152">
        <f>IF(K152=0,100,100-100/(1+J152/K152))</f>
        <v/>
      </c>
      <c r="M152">
        <f>IF(MAX(C139:C152)=MIN(D139:D152),50,100*(B152-MIN(D139:D152))/(MAX(C139:C152)-MIN(D139:D152)))</f>
        <v/>
      </c>
      <c r="N152">
        <f>AVERAGE(M150:M152)</f>
        <v/>
      </c>
      <c r="O152">
        <f>IF(ISNUMBER(L152),L152&lt;30,FALSE)</f>
        <v/>
      </c>
      <c r="P152">
        <f>IF(ISNUMBER(N152),N152&lt;20,FALSE)</f>
        <v/>
      </c>
      <c r="Q152">
        <f>IF(AND(ISNUMBER(E132),ISNUMBER(E152)),AND(E152&gt;E132,B152&lt;=E152*1.01,B151&gt;E151*1.01),FALSE)</f>
        <v/>
      </c>
      <c r="R152">
        <f>FALSE</f>
        <v/>
      </c>
      <c r="S152">
        <f>IF(ISNUMBER(G152),B152&lt;G152,FALSE)</f>
        <v/>
      </c>
      <c r="T152">
        <f>OR(O152,P152,Q152,R152,S152)</f>
        <v/>
      </c>
    </row>
    <row r="153">
      <c r="A153">
        <f>IF(Prices!A153="","",Prices!A153)</f>
        <v/>
      </c>
      <c r="B153">
        <f>IF(Prices!E153="","",Prices!E153)</f>
        <v/>
      </c>
      <c r="C153">
        <f>IF(Prices!C153="","",Prices!C153)</f>
        <v/>
      </c>
      <c r="D153">
        <f>IF(Prices!D153="","",Prices!D153)</f>
        <v/>
      </c>
      <c r="E153">
        <f>AVERAGE(B104:B153)</f>
        <v/>
      </c>
      <c r="F153" t="inlineStr"/>
      <c r="G153">
        <f>AVERAGE(B134:B153)-2*STDEV.P(B134:B153)</f>
        <v/>
      </c>
      <c r="H153">
        <f>MAX(B153-B152,0)</f>
        <v/>
      </c>
      <c r="I153">
        <f>MAX(B152-B153,0)</f>
        <v/>
      </c>
      <c r="J153">
        <f>(J152*13+H153)/14</f>
        <v/>
      </c>
      <c r="K153">
        <f>(K152*13+I153)/14</f>
        <v/>
      </c>
      <c r="L153">
        <f>IF(K153=0,100,100-100/(1+J153/K153))</f>
        <v/>
      </c>
      <c r="M153">
        <f>IF(MAX(C140:C153)=MIN(D140:D153),50,100*(B153-MIN(D140:D153))/(MAX(C140:C153)-MIN(D140:D153)))</f>
        <v/>
      </c>
      <c r="N153">
        <f>AVERAGE(M151:M153)</f>
        <v/>
      </c>
      <c r="O153">
        <f>IF(ISNUMBER(L153),L153&lt;30,FALSE)</f>
        <v/>
      </c>
      <c r="P153">
        <f>IF(ISNUMBER(N153),N153&lt;20,FALSE)</f>
        <v/>
      </c>
      <c r="Q153">
        <f>IF(AND(ISNUMBER(E133),ISNUMBER(E153)),AND(E153&gt;E133,B153&lt;=E153*1.01,B152&gt;E152*1.01),FALSE)</f>
        <v/>
      </c>
      <c r="R153">
        <f>FALSE</f>
        <v/>
      </c>
      <c r="S153">
        <f>IF(ISNUMBER(G153),B153&lt;G153,FALSE)</f>
        <v/>
      </c>
      <c r="T153">
        <f>OR(O153,P153,Q153,R153,S153)</f>
        <v/>
      </c>
    </row>
    <row r="154">
      <c r="A154">
        <f>IF(Prices!A154="","",Prices!A154)</f>
        <v/>
      </c>
      <c r="B154">
        <f>IF(Prices!E154="","",Prices!E154)</f>
        <v/>
      </c>
      <c r="C154">
        <f>IF(Prices!C154="","",Prices!C154)</f>
        <v/>
      </c>
      <c r="D154">
        <f>IF(Prices!D154="","",Prices!D154)</f>
        <v/>
      </c>
      <c r="E154">
        <f>AVERAGE(B105:B154)</f>
        <v/>
      </c>
      <c r="F154" t="inlineStr"/>
      <c r="G154">
        <f>AVERAGE(B135:B154)-2*STDEV.P(B135:B154)</f>
        <v/>
      </c>
      <c r="H154">
        <f>MAX(B154-B153,0)</f>
        <v/>
      </c>
      <c r="I154">
        <f>MAX(B153-B154,0)</f>
        <v/>
      </c>
      <c r="J154">
        <f>(J153*13+H154)/14</f>
        <v/>
      </c>
      <c r="K154">
        <f>(K153*13+I154)/14</f>
        <v/>
      </c>
      <c r="L154">
        <f>IF(K154=0,100,100-100/(1+J154/K154))</f>
        <v/>
      </c>
      <c r="M154">
        <f>IF(MAX(C141:C154)=MIN(D141:D154),50,100*(B154-MIN(D141:D154))/(MAX(C141:C154)-MIN(D141:D154)))</f>
        <v/>
      </c>
      <c r="N154">
        <f>AVERAGE(M152:M154)</f>
        <v/>
      </c>
      <c r="O154">
        <f>IF(ISNUMBER(L154),L154&lt;30,FALSE)</f>
        <v/>
      </c>
      <c r="P154">
        <f>IF(ISNUMBER(N154),N154&lt;20,FALSE)</f>
        <v/>
      </c>
      <c r="Q154">
        <f>IF(AND(ISNUMBER(E134),ISNUMBER(E154)),AND(E154&gt;E134,B154&lt;=E154*1.01,B153&gt;E153*1.01),FALSE)</f>
        <v/>
      </c>
      <c r="R154">
        <f>FALSE</f>
        <v/>
      </c>
      <c r="S154">
        <f>IF(ISNUMBER(G154),B154&lt;G154,FALSE)</f>
        <v/>
      </c>
      <c r="T154">
        <f>OR(O154,P154,Q154,R154,S154)</f>
        <v/>
      </c>
    </row>
    <row r="155">
      <c r="A155">
        <f>IF(Prices!A155="","",Prices!A155)</f>
        <v/>
      </c>
      <c r="B155">
        <f>IF(Prices!E155="","",Prices!E155)</f>
        <v/>
      </c>
      <c r="C155">
        <f>IF(Prices!C155="","",Prices!C155)</f>
        <v/>
      </c>
      <c r="D155">
        <f>IF(Prices!D155="","",Prices!D155)</f>
        <v/>
      </c>
      <c r="E155">
        <f>AVERAGE(B106:B155)</f>
        <v/>
      </c>
      <c r="F155" t="inlineStr"/>
      <c r="G155">
        <f>AVERAGE(B136:B155)-2*STDEV.P(B136:B155)</f>
        <v/>
      </c>
      <c r="H155">
        <f>MAX(B155-B154,0)</f>
        <v/>
      </c>
      <c r="I155">
        <f>MAX(B154-B155,0)</f>
        <v/>
      </c>
      <c r="J155">
        <f>(J154*13+H155)/14</f>
        <v/>
      </c>
      <c r="K155">
        <f>(K154*13+I155)/14</f>
        <v/>
      </c>
      <c r="L155">
        <f>IF(K155=0,100,100-100/(1+J155/K155))</f>
        <v/>
      </c>
      <c r="M155">
        <f>IF(MAX(C142:C155)=MIN(D142:D155),50,100*(B155-MIN(D142:D155))/(MAX(C142:C155)-MIN(D142:D155)))</f>
        <v/>
      </c>
      <c r="N155">
        <f>AVERAGE(M153:M155)</f>
        <v/>
      </c>
      <c r="O155">
        <f>IF(ISNUMBER(L155),L155&lt;30,FALSE)</f>
        <v/>
      </c>
      <c r="P155">
        <f>IF(ISNUMBER(N155),N155&lt;20,FALSE)</f>
        <v/>
      </c>
      <c r="Q155">
        <f>IF(AND(ISNUMBER(E135),ISNUMBER(E155)),AND(E155&gt;E135,B155&lt;=E155*1.01,B154&gt;E154*1.01),FALSE)</f>
        <v/>
      </c>
      <c r="R155">
        <f>FALSE</f>
        <v/>
      </c>
      <c r="S155">
        <f>IF(ISNUMBER(G155),B155&lt;G155,FALSE)</f>
        <v/>
      </c>
      <c r="T155">
        <f>OR(O155,P155,Q155,R155,S155)</f>
        <v/>
      </c>
    </row>
    <row r="156">
      <c r="A156">
        <f>IF(Prices!A156="","",Prices!A156)</f>
        <v/>
      </c>
      <c r="B156">
        <f>IF(Prices!E156="","",Prices!E156)</f>
        <v/>
      </c>
      <c r="C156">
        <f>IF(Prices!C156="","",Prices!C156)</f>
        <v/>
      </c>
      <c r="D156">
        <f>IF(Prices!D156="","",Prices!D156)</f>
        <v/>
      </c>
      <c r="E156">
        <f>AVERAGE(B107:B156)</f>
        <v/>
      </c>
      <c r="F156" t="inlineStr"/>
      <c r="G156">
        <f>AVERAGE(B137:B156)-2*STDEV.P(B137:B156)</f>
        <v/>
      </c>
      <c r="H156">
        <f>MAX(B156-B155,0)</f>
        <v/>
      </c>
      <c r="I156">
        <f>MAX(B155-B156,0)</f>
        <v/>
      </c>
      <c r="J156">
        <f>(J155*13+H156)/14</f>
        <v/>
      </c>
      <c r="K156">
        <f>(K155*13+I156)/14</f>
        <v/>
      </c>
      <c r="L156">
        <f>IF(K156=0,100,100-100/(1+J156/K156))</f>
        <v/>
      </c>
      <c r="M156">
        <f>IF(MAX(C143:C156)=MIN(D143:D156),50,100*(B156-MIN(D143:D156))/(MAX(C143:C156)-MIN(D143:D156)))</f>
        <v/>
      </c>
      <c r="N156">
        <f>AVERAGE(M154:M156)</f>
        <v/>
      </c>
      <c r="O156">
        <f>IF(ISNUMBER(L156),L156&lt;30,FALSE)</f>
        <v/>
      </c>
      <c r="P156">
        <f>IF(ISNUMBER(N156),N156&lt;20,FALSE)</f>
        <v/>
      </c>
      <c r="Q156">
        <f>IF(AND(ISNUMBER(E136),ISNUMBER(E156)),AND(E156&gt;E136,B156&lt;=E156*1.01,B155&gt;E155*1.01),FALSE)</f>
        <v/>
      </c>
      <c r="R156">
        <f>FALSE</f>
        <v/>
      </c>
      <c r="S156">
        <f>IF(ISNUMBER(G156),B156&lt;G156,FALSE)</f>
        <v/>
      </c>
      <c r="T156">
        <f>OR(O156,P156,Q156,R156,S156)</f>
        <v/>
      </c>
    </row>
    <row r="157">
      <c r="A157">
        <f>IF(Prices!A157="","",Prices!A157)</f>
        <v/>
      </c>
      <c r="B157">
        <f>IF(Prices!E157="","",Prices!E157)</f>
        <v/>
      </c>
      <c r="C157">
        <f>IF(Prices!C157="","",Prices!C157)</f>
        <v/>
      </c>
      <c r="D157">
        <f>IF(Prices!D157="","",Prices!D157)</f>
        <v/>
      </c>
      <c r="E157">
        <f>AVERAGE(B108:B157)</f>
        <v/>
      </c>
      <c r="F157" t="inlineStr"/>
      <c r="G157">
        <f>AVERAGE(B138:B157)-2*STDEV.P(B138:B157)</f>
        <v/>
      </c>
      <c r="H157">
        <f>MAX(B157-B156,0)</f>
        <v/>
      </c>
      <c r="I157">
        <f>MAX(B156-B157,0)</f>
        <v/>
      </c>
      <c r="J157">
        <f>(J156*13+H157)/14</f>
        <v/>
      </c>
      <c r="K157">
        <f>(K156*13+I157)/14</f>
        <v/>
      </c>
      <c r="L157">
        <f>IF(K157=0,100,100-100/(1+J157/K157))</f>
        <v/>
      </c>
      <c r="M157">
        <f>IF(MAX(C144:C157)=MIN(D144:D157),50,100*(B157-MIN(D144:D157))/(MAX(C144:C157)-MIN(D144:D157)))</f>
        <v/>
      </c>
      <c r="N157">
        <f>AVERAGE(M155:M157)</f>
        <v/>
      </c>
      <c r="O157">
        <f>IF(ISNUMBER(L157),L157&lt;30,FALSE)</f>
        <v/>
      </c>
      <c r="P157">
        <f>IF(ISNUMBER(N157),N157&lt;20,FALSE)</f>
        <v/>
      </c>
      <c r="Q157">
        <f>IF(AND(ISNUMBER(E137),ISNUMBER(E157)),AND(E157&gt;E137,B157&lt;=E157*1.01,B156&gt;E156*1.01),FALSE)</f>
        <v/>
      </c>
      <c r="R157">
        <f>FALSE</f>
        <v/>
      </c>
      <c r="S157">
        <f>IF(ISNUMBER(G157),B157&lt;G157,FALSE)</f>
        <v/>
      </c>
      <c r="T157">
        <f>OR(O157,P157,Q157,R157,S157)</f>
        <v/>
      </c>
    </row>
    <row r="158">
      <c r="A158">
        <f>IF(Prices!A158="","",Prices!A158)</f>
        <v/>
      </c>
      <c r="B158">
        <f>IF(Prices!E158="","",Prices!E158)</f>
        <v/>
      </c>
      <c r="C158">
        <f>IF(Prices!C158="","",Prices!C158)</f>
        <v/>
      </c>
      <c r="D158">
        <f>IF(Prices!D158="","",Prices!D158)</f>
        <v/>
      </c>
      <c r="E158">
        <f>AVERAGE(B109:B158)</f>
        <v/>
      </c>
      <c r="F158" t="inlineStr"/>
      <c r="G158">
        <f>AVERAGE(B139:B158)-2*STDEV.P(B139:B158)</f>
        <v/>
      </c>
      <c r="H158">
        <f>MAX(B158-B157,0)</f>
        <v/>
      </c>
      <c r="I158">
        <f>MAX(B157-B158,0)</f>
        <v/>
      </c>
      <c r="J158">
        <f>(J157*13+H158)/14</f>
        <v/>
      </c>
      <c r="K158">
        <f>(K157*13+I158)/14</f>
        <v/>
      </c>
      <c r="L158">
        <f>IF(K158=0,100,100-100/(1+J158/K158))</f>
        <v/>
      </c>
      <c r="M158">
        <f>IF(MAX(C145:C158)=MIN(D145:D158),50,100*(B158-MIN(D145:D158))/(MAX(C145:C158)-MIN(D145:D158)))</f>
        <v/>
      </c>
      <c r="N158">
        <f>AVERAGE(M156:M158)</f>
        <v/>
      </c>
      <c r="O158">
        <f>IF(ISNUMBER(L158),L158&lt;30,FALSE)</f>
        <v/>
      </c>
      <c r="P158">
        <f>IF(ISNUMBER(N158),N158&lt;20,FALSE)</f>
        <v/>
      </c>
      <c r="Q158">
        <f>IF(AND(ISNUMBER(E138),ISNUMBER(E158)),AND(E158&gt;E138,B158&lt;=E158*1.01,B157&gt;E157*1.01),FALSE)</f>
        <v/>
      </c>
      <c r="R158">
        <f>FALSE</f>
        <v/>
      </c>
      <c r="S158">
        <f>IF(ISNUMBER(G158),B158&lt;G158,FALSE)</f>
        <v/>
      </c>
      <c r="T158">
        <f>OR(O158,P158,Q158,R158,S158)</f>
        <v/>
      </c>
    </row>
    <row r="159">
      <c r="A159">
        <f>IF(Prices!A159="","",Prices!A159)</f>
        <v/>
      </c>
      <c r="B159">
        <f>IF(Prices!E159="","",Prices!E159)</f>
        <v/>
      </c>
      <c r="C159">
        <f>IF(Prices!C159="","",Prices!C159)</f>
        <v/>
      </c>
      <c r="D159">
        <f>IF(Prices!D159="","",Prices!D159)</f>
        <v/>
      </c>
      <c r="E159">
        <f>AVERAGE(B110:B159)</f>
        <v/>
      </c>
      <c r="F159" t="inlineStr"/>
      <c r="G159">
        <f>AVERAGE(B140:B159)-2*STDEV.P(B140:B159)</f>
        <v/>
      </c>
      <c r="H159">
        <f>MAX(B159-B158,0)</f>
        <v/>
      </c>
      <c r="I159">
        <f>MAX(B158-B159,0)</f>
        <v/>
      </c>
      <c r="J159">
        <f>(J158*13+H159)/14</f>
        <v/>
      </c>
      <c r="K159">
        <f>(K158*13+I159)/14</f>
        <v/>
      </c>
      <c r="L159">
        <f>IF(K159=0,100,100-100/(1+J159/K159))</f>
        <v/>
      </c>
      <c r="M159">
        <f>IF(MAX(C146:C159)=MIN(D146:D159),50,100*(B159-MIN(D146:D159))/(MAX(C146:C159)-MIN(D146:D159)))</f>
        <v/>
      </c>
      <c r="N159">
        <f>AVERAGE(M157:M159)</f>
        <v/>
      </c>
      <c r="O159">
        <f>IF(ISNUMBER(L159),L159&lt;30,FALSE)</f>
        <v/>
      </c>
      <c r="P159">
        <f>IF(ISNUMBER(N159),N159&lt;20,FALSE)</f>
        <v/>
      </c>
      <c r="Q159">
        <f>IF(AND(ISNUMBER(E139),ISNUMBER(E159)),AND(E159&gt;E139,B159&lt;=E159*1.01,B158&gt;E158*1.01),FALSE)</f>
        <v/>
      </c>
      <c r="R159">
        <f>FALSE</f>
        <v/>
      </c>
      <c r="S159">
        <f>IF(ISNUMBER(G159),B159&lt;G159,FALSE)</f>
        <v/>
      </c>
      <c r="T159">
        <f>OR(O159,P159,Q159,R159,S159)</f>
        <v/>
      </c>
    </row>
    <row r="160">
      <c r="A160">
        <f>IF(Prices!A160="","",Prices!A160)</f>
        <v/>
      </c>
      <c r="B160">
        <f>IF(Prices!E160="","",Prices!E160)</f>
        <v/>
      </c>
      <c r="C160">
        <f>IF(Prices!C160="","",Prices!C160)</f>
        <v/>
      </c>
      <c r="D160">
        <f>IF(Prices!D160="","",Prices!D160)</f>
        <v/>
      </c>
      <c r="E160">
        <f>AVERAGE(B111:B160)</f>
        <v/>
      </c>
      <c r="F160" t="inlineStr"/>
      <c r="G160">
        <f>AVERAGE(B141:B160)-2*STDEV.P(B141:B160)</f>
        <v/>
      </c>
      <c r="H160">
        <f>MAX(B160-B159,0)</f>
        <v/>
      </c>
      <c r="I160">
        <f>MAX(B159-B160,0)</f>
        <v/>
      </c>
      <c r="J160">
        <f>(J159*13+H160)/14</f>
        <v/>
      </c>
      <c r="K160">
        <f>(K159*13+I160)/14</f>
        <v/>
      </c>
      <c r="L160">
        <f>IF(K160=0,100,100-100/(1+J160/K160))</f>
        <v/>
      </c>
      <c r="M160">
        <f>IF(MAX(C147:C160)=MIN(D147:D160),50,100*(B160-MIN(D147:D160))/(MAX(C147:C160)-MIN(D147:D160)))</f>
        <v/>
      </c>
      <c r="N160">
        <f>AVERAGE(M158:M160)</f>
        <v/>
      </c>
      <c r="O160">
        <f>IF(ISNUMBER(L160),L160&lt;30,FALSE)</f>
        <v/>
      </c>
      <c r="P160">
        <f>IF(ISNUMBER(N160),N160&lt;20,FALSE)</f>
        <v/>
      </c>
      <c r="Q160">
        <f>IF(AND(ISNUMBER(E140),ISNUMBER(E160)),AND(E160&gt;E140,B160&lt;=E160*1.01,B159&gt;E159*1.01),FALSE)</f>
        <v/>
      </c>
      <c r="R160">
        <f>FALSE</f>
        <v/>
      </c>
      <c r="S160">
        <f>IF(ISNUMBER(G160),B160&lt;G160,FALSE)</f>
        <v/>
      </c>
      <c r="T160">
        <f>OR(O160,P160,Q160,R160,S160)</f>
        <v/>
      </c>
    </row>
    <row r="161">
      <c r="A161">
        <f>IF(Prices!A161="","",Prices!A161)</f>
        <v/>
      </c>
      <c r="B161">
        <f>IF(Prices!E161="","",Prices!E161)</f>
        <v/>
      </c>
      <c r="C161">
        <f>IF(Prices!C161="","",Prices!C161)</f>
        <v/>
      </c>
      <c r="D161">
        <f>IF(Prices!D161="","",Prices!D161)</f>
        <v/>
      </c>
      <c r="E161">
        <f>AVERAGE(B112:B161)</f>
        <v/>
      </c>
      <c r="F161" t="inlineStr"/>
      <c r="G161">
        <f>AVERAGE(B142:B161)-2*STDEV.P(B142:B161)</f>
        <v/>
      </c>
      <c r="H161">
        <f>MAX(B161-B160,0)</f>
        <v/>
      </c>
      <c r="I161">
        <f>MAX(B160-B161,0)</f>
        <v/>
      </c>
      <c r="J161">
        <f>(J160*13+H161)/14</f>
        <v/>
      </c>
      <c r="K161">
        <f>(K160*13+I161)/14</f>
        <v/>
      </c>
      <c r="L161">
        <f>IF(K161=0,100,100-100/(1+J161/K161))</f>
        <v/>
      </c>
      <c r="M161">
        <f>IF(MAX(C148:C161)=MIN(D148:D161),50,100*(B161-MIN(D148:D161))/(MAX(C148:C161)-MIN(D148:D161)))</f>
        <v/>
      </c>
      <c r="N161">
        <f>AVERAGE(M159:M161)</f>
        <v/>
      </c>
      <c r="O161">
        <f>IF(ISNUMBER(L161),L161&lt;30,FALSE)</f>
        <v/>
      </c>
      <c r="P161">
        <f>IF(ISNUMBER(N161),N161&lt;20,FALSE)</f>
        <v/>
      </c>
      <c r="Q161">
        <f>IF(AND(ISNUMBER(E141),ISNUMBER(E161)),AND(E161&gt;E141,B161&lt;=E161*1.01,B160&gt;E160*1.01),FALSE)</f>
        <v/>
      </c>
      <c r="R161">
        <f>FALSE</f>
        <v/>
      </c>
      <c r="S161">
        <f>IF(ISNUMBER(G161),B161&lt;G161,FALSE)</f>
        <v/>
      </c>
      <c r="T161">
        <f>OR(O161,P161,Q161,R161,S161)</f>
        <v/>
      </c>
    </row>
    <row r="162">
      <c r="A162">
        <f>IF(Prices!A162="","",Prices!A162)</f>
        <v/>
      </c>
      <c r="B162">
        <f>IF(Prices!E162="","",Prices!E162)</f>
        <v/>
      </c>
      <c r="C162">
        <f>IF(Prices!C162="","",Prices!C162)</f>
        <v/>
      </c>
      <c r="D162">
        <f>IF(Prices!D162="","",Prices!D162)</f>
        <v/>
      </c>
      <c r="E162">
        <f>AVERAGE(B113:B162)</f>
        <v/>
      </c>
      <c r="F162" t="inlineStr"/>
      <c r="G162">
        <f>AVERAGE(B143:B162)-2*STDEV.P(B143:B162)</f>
        <v/>
      </c>
      <c r="H162">
        <f>MAX(B162-B161,0)</f>
        <v/>
      </c>
      <c r="I162">
        <f>MAX(B161-B162,0)</f>
        <v/>
      </c>
      <c r="J162">
        <f>(J161*13+H162)/14</f>
        <v/>
      </c>
      <c r="K162">
        <f>(K161*13+I162)/14</f>
        <v/>
      </c>
      <c r="L162">
        <f>IF(K162=0,100,100-100/(1+J162/K162))</f>
        <v/>
      </c>
      <c r="M162">
        <f>IF(MAX(C149:C162)=MIN(D149:D162),50,100*(B162-MIN(D149:D162))/(MAX(C149:C162)-MIN(D149:D162)))</f>
        <v/>
      </c>
      <c r="N162">
        <f>AVERAGE(M160:M162)</f>
        <v/>
      </c>
      <c r="O162">
        <f>IF(ISNUMBER(L162),L162&lt;30,FALSE)</f>
        <v/>
      </c>
      <c r="P162">
        <f>IF(ISNUMBER(N162),N162&lt;20,FALSE)</f>
        <v/>
      </c>
      <c r="Q162">
        <f>IF(AND(ISNUMBER(E142),ISNUMBER(E162)),AND(E162&gt;E142,B162&lt;=E162*1.01,B161&gt;E161*1.01),FALSE)</f>
        <v/>
      </c>
      <c r="R162">
        <f>FALSE</f>
        <v/>
      </c>
      <c r="S162">
        <f>IF(ISNUMBER(G162),B162&lt;G162,FALSE)</f>
        <v/>
      </c>
      <c r="T162">
        <f>OR(O162,P162,Q162,R162,S162)</f>
        <v/>
      </c>
    </row>
    <row r="163">
      <c r="A163">
        <f>IF(Prices!A163="","",Prices!A163)</f>
        <v/>
      </c>
      <c r="B163">
        <f>IF(Prices!E163="","",Prices!E163)</f>
        <v/>
      </c>
      <c r="C163">
        <f>IF(Prices!C163="","",Prices!C163)</f>
        <v/>
      </c>
      <c r="D163">
        <f>IF(Prices!D163="","",Prices!D163)</f>
        <v/>
      </c>
      <c r="E163">
        <f>AVERAGE(B114:B163)</f>
        <v/>
      </c>
      <c r="F163" t="inlineStr"/>
      <c r="G163">
        <f>AVERAGE(B144:B163)-2*STDEV.P(B144:B163)</f>
        <v/>
      </c>
      <c r="H163">
        <f>MAX(B163-B162,0)</f>
        <v/>
      </c>
      <c r="I163">
        <f>MAX(B162-B163,0)</f>
        <v/>
      </c>
      <c r="J163">
        <f>(J162*13+H163)/14</f>
        <v/>
      </c>
      <c r="K163">
        <f>(K162*13+I163)/14</f>
        <v/>
      </c>
      <c r="L163">
        <f>IF(K163=0,100,100-100/(1+J163/K163))</f>
        <v/>
      </c>
      <c r="M163">
        <f>IF(MAX(C150:C163)=MIN(D150:D163),50,100*(B163-MIN(D150:D163))/(MAX(C150:C163)-MIN(D150:D163)))</f>
        <v/>
      </c>
      <c r="N163">
        <f>AVERAGE(M161:M163)</f>
        <v/>
      </c>
      <c r="O163">
        <f>IF(ISNUMBER(L163),L163&lt;30,FALSE)</f>
        <v/>
      </c>
      <c r="P163">
        <f>IF(ISNUMBER(N163),N163&lt;20,FALSE)</f>
        <v/>
      </c>
      <c r="Q163">
        <f>IF(AND(ISNUMBER(E143),ISNUMBER(E163)),AND(E163&gt;E143,B163&lt;=E163*1.01,B162&gt;E162*1.01),FALSE)</f>
        <v/>
      </c>
      <c r="R163">
        <f>FALSE</f>
        <v/>
      </c>
      <c r="S163">
        <f>IF(ISNUMBER(G163),B163&lt;G163,FALSE)</f>
        <v/>
      </c>
      <c r="T163">
        <f>OR(O163,P163,Q163,R163,S163)</f>
        <v/>
      </c>
    </row>
    <row r="164">
      <c r="A164">
        <f>IF(Prices!A164="","",Prices!A164)</f>
        <v/>
      </c>
      <c r="B164">
        <f>IF(Prices!E164="","",Prices!E164)</f>
        <v/>
      </c>
      <c r="C164">
        <f>IF(Prices!C164="","",Prices!C164)</f>
        <v/>
      </c>
      <c r="D164">
        <f>IF(Prices!D164="","",Prices!D164)</f>
        <v/>
      </c>
      <c r="E164">
        <f>AVERAGE(B115:B164)</f>
        <v/>
      </c>
      <c r="F164" t="inlineStr"/>
      <c r="G164">
        <f>AVERAGE(B145:B164)-2*STDEV.P(B145:B164)</f>
        <v/>
      </c>
      <c r="H164">
        <f>MAX(B164-B163,0)</f>
        <v/>
      </c>
      <c r="I164">
        <f>MAX(B163-B164,0)</f>
        <v/>
      </c>
      <c r="J164">
        <f>(J163*13+H164)/14</f>
        <v/>
      </c>
      <c r="K164">
        <f>(K163*13+I164)/14</f>
        <v/>
      </c>
      <c r="L164">
        <f>IF(K164=0,100,100-100/(1+J164/K164))</f>
        <v/>
      </c>
      <c r="M164">
        <f>IF(MAX(C151:C164)=MIN(D151:D164),50,100*(B164-MIN(D151:D164))/(MAX(C151:C164)-MIN(D151:D164)))</f>
        <v/>
      </c>
      <c r="N164">
        <f>AVERAGE(M162:M164)</f>
        <v/>
      </c>
      <c r="O164">
        <f>IF(ISNUMBER(L164),L164&lt;30,FALSE)</f>
        <v/>
      </c>
      <c r="P164">
        <f>IF(ISNUMBER(N164),N164&lt;20,FALSE)</f>
        <v/>
      </c>
      <c r="Q164">
        <f>IF(AND(ISNUMBER(E144),ISNUMBER(E164)),AND(E164&gt;E144,B164&lt;=E164*1.01,B163&gt;E163*1.01),FALSE)</f>
        <v/>
      </c>
      <c r="R164">
        <f>FALSE</f>
        <v/>
      </c>
      <c r="S164">
        <f>IF(ISNUMBER(G164),B164&lt;G164,FALSE)</f>
        <v/>
      </c>
      <c r="T164">
        <f>OR(O164,P164,Q164,R164,S164)</f>
        <v/>
      </c>
    </row>
    <row r="165">
      <c r="A165">
        <f>IF(Prices!A165="","",Prices!A165)</f>
        <v/>
      </c>
      <c r="B165">
        <f>IF(Prices!E165="","",Prices!E165)</f>
        <v/>
      </c>
      <c r="C165">
        <f>IF(Prices!C165="","",Prices!C165)</f>
        <v/>
      </c>
      <c r="D165">
        <f>IF(Prices!D165="","",Prices!D165)</f>
        <v/>
      </c>
      <c r="E165">
        <f>AVERAGE(B116:B165)</f>
        <v/>
      </c>
      <c r="F165" t="inlineStr"/>
      <c r="G165">
        <f>AVERAGE(B146:B165)-2*STDEV.P(B146:B165)</f>
        <v/>
      </c>
      <c r="H165">
        <f>MAX(B165-B164,0)</f>
        <v/>
      </c>
      <c r="I165">
        <f>MAX(B164-B165,0)</f>
        <v/>
      </c>
      <c r="J165">
        <f>(J164*13+H165)/14</f>
        <v/>
      </c>
      <c r="K165">
        <f>(K164*13+I165)/14</f>
        <v/>
      </c>
      <c r="L165">
        <f>IF(K165=0,100,100-100/(1+J165/K165))</f>
        <v/>
      </c>
      <c r="M165">
        <f>IF(MAX(C152:C165)=MIN(D152:D165),50,100*(B165-MIN(D152:D165))/(MAX(C152:C165)-MIN(D152:D165)))</f>
        <v/>
      </c>
      <c r="N165">
        <f>AVERAGE(M163:M165)</f>
        <v/>
      </c>
      <c r="O165">
        <f>IF(ISNUMBER(L165),L165&lt;30,FALSE)</f>
        <v/>
      </c>
      <c r="P165">
        <f>IF(ISNUMBER(N165),N165&lt;20,FALSE)</f>
        <v/>
      </c>
      <c r="Q165">
        <f>IF(AND(ISNUMBER(E145),ISNUMBER(E165)),AND(E165&gt;E145,B165&lt;=E165*1.01,B164&gt;E164*1.01),FALSE)</f>
        <v/>
      </c>
      <c r="R165">
        <f>FALSE</f>
        <v/>
      </c>
      <c r="S165">
        <f>IF(ISNUMBER(G165),B165&lt;G165,FALSE)</f>
        <v/>
      </c>
      <c r="T165">
        <f>OR(O165,P165,Q165,R165,S165)</f>
        <v/>
      </c>
    </row>
    <row r="166">
      <c r="A166">
        <f>IF(Prices!A166="","",Prices!A166)</f>
        <v/>
      </c>
      <c r="B166">
        <f>IF(Prices!E166="","",Prices!E166)</f>
        <v/>
      </c>
      <c r="C166">
        <f>IF(Prices!C166="","",Prices!C166)</f>
        <v/>
      </c>
      <c r="D166">
        <f>IF(Prices!D166="","",Prices!D166)</f>
        <v/>
      </c>
      <c r="E166">
        <f>AVERAGE(B117:B166)</f>
        <v/>
      </c>
      <c r="F166" t="inlineStr"/>
      <c r="G166">
        <f>AVERAGE(B147:B166)-2*STDEV.P(B147:B166)</f>
        <v/>
      </c>
      <c r="H166">
        <f>MAX(B166-B165,0)</f>
        <v/>
      </c>
      <c r="I166">
        <f>MAX(B165-B166,0)</f>
        <v/>
      </c>
      <c r="J166">
        <f>(J165*13+H166)/14</f>
        <v/>
      </c>
      <c r="K166">
        <f>(K165*13+I166)/14</f>
        <v/>
      </c>
      <c r="L166">
        <f>IF(K166=0,100,100-100/(1+J166/K166))</f>
        <v/>
      </c>
      <c r="M166">
        <f>IF(MAX(C153:C166)=MIN(D153:D166),50,100*(B166-MIN(D153:D166))/(MAX(C153:C166)-MIN(D153:D166)))</f>
        <v/>
      </c>
      <c r="N166">
        <f>AVERAGE(M164:M166)</f>
        <v/>
      </c>
      <c r="O166">
        <f>IF(ISNUMBER(L166),L166&lt;30,FALSE)</f>
        <v/>
      </c>
      <c r="P166">
        <f>IF(ISNUMBER(N166),N166&lt;20,FALSE)</f>
        <v/>
      </c>
      <c r="Q166">
        <f>IF(AND(ISNUMBER(E146),ISNUMBER(E166)),AND(E166&gt;E146,B166&lt;=E166*1.01,B165&gt;E165*1.01),FALSE)</f>
        <v/>
      </c>
      <c r="R166">
        <f>FALSE</f>
        <v/>
      </c>
      <c r="S166">
        <f>IF(ISNUMBER(G166),B166&lt;G166,FALSE)</f>
        <v/>
      </c>
      <c r="T166">
        <f>OR(O166,P166,Q166,R166,S166)</f>
        <v/>
      </c>
    </row>
    <row r="167">
      <c r="A167">
        <f>IF(Prices!A167="","",Prices!A167)</f>
        <v/>
      </c>
      <c r="B167">
        <f>IF(Prices!E167="","",Prices!E167)</f>
        <v/>
      </c>
      <c r="C167">
        <f>IF(Prices!C167="","",Prices!C167)</f>
        <v/>
      </c>
      <c r="D167">
        <f>IF(Prices!D167="","",Prices!D167)</f>
        <v/>
      </c>
      <c r="E167">
        <f>AVERAGE(B118:B167)</f>
        <v/>
      </c>
      <c r="F167" t="inlineStr"/>
      <c r="G167">
        <f>AVERAGE(B148:B167)-2*STDEV.P(B148:B167)</f>
        <v/>
      </c>
      <c r="H167">
        <f>MAX(B167-B166,0)</f>
        <v/>
      </c>
      <c r="I167">
        <f>MAX(B166-B167,0)</f>
        <v/>
      </c>
      <c r="J167">
        <f>(J166*13+H167)/14</f>
        <v/>
      </c>
      <c r="K167">
        <f>(K166*13+I167)/14</f>
        <v/>
      </c>
      <c r="L167">
        <f>IF(K167=0,100,100-100/(1+J167/K167))</f>
        <v/>
      </c>
      <c r="M167">
        <f>IF(MAX(C154:C167)=MIN(D154:D167),50,100*(B167-MIN(D154:D167))/(MAX(C154:C167)-MIN(D154:D167)))</f>
        <v/>
      </c>
      <c r="N167">
        <f>AVERAGE(M165:M167)</f>
        <v/>
      </c>
      <c r="O167">
        <f>IF(ISNUMBER(L167),L167&lt;30,FALSE)</f>
        <v/>
      </c>
      <c r="P167">
        <f>IF(ISNUMBER(N167),N167&lt;20,FALSE)</f>
        <v/>
      </c>
      <c r="Q167">
        <f>IF(AND(ISNUMBER(E147),ISNUMBER(E167)),AND(E167&gt;E147,B167&lt;=E167*1.01,B166&gt;E166*1.01),FALSE)</f>
        <v/>
      </c>
      <c r="R167">
        <f>FALSE</f>
        <v/>
      </c>
      <c r="S167">
        <f>IF(ISNUMBER(G167),B167&lt;G167,FALSE)</f>
        <v/>
      </c>
      <c r="T167">
        <f>OR(O167,P167,Q167,R167,S167)</f>
        <v/>
      </c>
    </row>
    <row r="168">
      <c r="A168">
        <f>IF(Prices!A168="","",Prices!A168)</f>
        <v/>
      </c>
      <c r="B168">
        <f>IF(Prices!E168="","",Prices!E168)</f>
        <v/>
      </c>
      <c r="C168">
        <f>IF(Prices!C168="","",Prices!C168)</f>
        <v/>
      </c>
      <c r="D168">
        <f>IF(Prices!D168="","",Prices!D168)</f>
        <v/>
      </c>
      <c r="E168">
        <f>AVERAGE(B119:B168)</f>
        <v/>
      </c>
      <c r="F168" t="inlineStr"/>
      <c r="G168">
        <f>AVERAGE(B149:B168)-2*STDEV.P(B149:B168)</f>
        <v/>
      </c>
      <c r="H168">
        <f>MAX(B168-B167,0)</f>
        <v/>
      </c>
      <c r="I168">
        <f>MAX(B167-B168,0)</f>
        <v/>
      </c>
      <c r="J168">
        <f>(J167*13+H168)/14</f>
        <v/>
      </c>
      <c r="K168">
        <f>(K167*13+I168)/14</f>
        <v/>
      </c>
      <c r="L168">
        <f>IF(K168=0,100,100-100/(1+J168/K168))</f>
        <v/>
      </c>
      <c r="M168">
        <f>IF(MAX(C155:C168)=MIN(D155:D168),50,100*(B168-MIN(D155:D168))/(MAX(C155:C168)-MIN(D155:D168)))</f>
        <v/>
      </c>
      <c r="N168">
        <f>AVERAGE(M166:M168)</f>
        <v/>
      </c>
      <c r="O168">
        <f>IF(ISNUMBER(L168),L168&lt;30,FALSE)</f>
        <v/>
      </c>
      <c r="P168">
        <f>IF(ISNUMBER(N168),N168&lt;20,FALSE)</f>
        <v/>
      </c>
      <c r="Q168">
        <f>IF(AND(ISNUMBER(E148),ISNUMBER(E168)),AND(E168&gt;E148,B168&lt;=E168*1.01,B167&gt;E167*1.01),FALSE)</f>
        <v/>
      </c>
      <c r="R168">
        <f>FALSE</f>
        <v/>
      </c>
      <c r="S168">
        <f>IF(ISNUMBER(G168),B168&lt;G168,FALSE)</f>
        <v/>
      </c>
      <c r="T168">
        <f>OR(O168,P168,Q168,R168,S168)</f>
        <v/>
      </c>
    </row>
    <row r="169">
      <c r="A169">
        <f>IF(Prices!A169="","",Prices!A169)</f>
        <v/>
      </c>
      <c r="B169">
        <f>IF(Prices!E169="","",Prices!E169)</f>
        <v/>
      </c>
      <c r="C169">
        <f>IF(Prices!C169="","",Prices!C169)</f>
        <v/>
      </c>
      <c r="D169">
        <f>IF(Prices!D169="","",Prices!D169)</f>
        <v/>
      </c>
      <c r="E169">
        <f>AVERAGE(B120:B169)</f>
        <v/>
      </c>
      <c r="F169" t="inlineStr"/>
      <c r="G169">
        <f>AVERAGE(B150:B169)-2*STDEV.P(B150:B169)</f>
        <v/>
      </c>
      <c r="H169">
        <f>MAX(B169-B168,0)</f>
        <v/>
      </c>
      <c r="I169">
        <f>MAX(B168-B169,0)</f>
        <v/>
      </c>
      <c r="J169">
        <f>(J168*13+H169)/14</f>
        <v/>
      </c>
      <c r="K169">
        <f>(K168*13+I169)/14</f>
        <v/>
      </c>
      <c r="L169">
        <f>IF(K169=0,100,100-100/(1+J169/K169))</f>
        <v/>
      </c>
      <c r="M169">
        <f>IF(MAX(C156:C169)=MIN(D156:D169),50,100*(B169-MIN(D156:D169))/(MAX(C156:C169)-MIN(D156:D169)))</f>
        <v/>
      </c>
      <c r="N169">
        <f>AVERAGE(M167:M169)</f>
        <v/>
      </c>
      <c r="O169">
        <f>IF(ISNUMBER(L169),L169&lt;30,FALSE)</f>
        <v/>
      </c>
      <c r="P169">
        <f>IF(ISNUMBER(N169),N169&lt;20,FALSE)</f>
        <v/>
      </c>
      <c r="Q169">
        <f>IF(AND(ISNUMBER(E149),ISNUMBER(E169)),AND(E169&gt;E149,B169&lt;=E169*1.01,B168&gt;E168*1.01),FALSE)</f>
        <v/>
      </c>
      <c r="R169">
        <f>FALSE</f>
        <v/>
      </c>
      <c r="S169">
        <f>IF(ISNUMBER(G169),B169&lt;G169,FALSE)</f>
        <v/>
      </c>
      <c r="T169">
        <f>OR(O169,P169,Q169,R169,S169)</f>
        <v/>
      </c>
    </row>
    <row r="170">
      <c r="A170">
        <f>IF(Prices!A170="","",Prices!A170)</f>
        <v/>
      </c>
      <c r="B170">
        <f>IF(Prices!E170="","",Prices!E170)</f>
        <v/>
      </c>
      <c r="C170">
        <f>IF(Prices!C170="","",Prices!C170)</f>
        <v/>
      </c>
      <c r="D170">
        <f>IF(Prices!D170="","",Prices!D170)</f>
        <v/>
      </c>
      <c r="E170">
        <f>AVERAGE(B121:B170)</f>
        <v/>
      </c>
      <c r="F170" t="inlineStr"/>
      <c r="G170">
        <f>AVERAGE(B151:B170)-2*STDEV.P(B151:B170)</f>
        <v/>
      </c>
      <c r="H170">
        <f>MAX(B170-B169,0)</f>
        <v/>
      </c>
      <c r="I170">
        <f>MAX(B169-B170,0)</f>
        <v/>
      </c>
      <c r="J170">
        <f>(J169*13+H170)/14</f>
        <v/>
      </c>
      <c r="K170">
        <f>(K169*13+I170)/14</f>
        <v/>
      </c>
      <c r="L170">
        <f>IF(K170=0,100,100-100/(1+J170/K170))</f>
        <v/>
      </c>
      <c r="M170">
        <f>IF(MAX(C157:C170)=MIN(D157:D170),50,100*(B170-MIN(D157:D170))/(MAX(C157:C170)-MIN(D157:D170)))</f>
        <v/>
      </c>
      <c r="N170">
        <f>AVERAGE(M168:M170)</f>
        <v/>
      </c>
      <c r="O170">
        <f>IF(ISNUMBER(L170),L170&lt;30,FALSE)</f>
        <v/>
      </c>
      <c r="P170">
        <f>IF(ISNUMBER(N170),N170&lt;20,FALSE)</f>
        <v/>
      </c>
      <c r="Q170">
        <f>IF(AND(ISNUMBER(E150),ISNUMBER(E170)),AND(E170&gt;E150,B170&lt;=E170*1.01,B169&gt;E169*1.01),FALSE)</f>
        <v/>
      </c>
      <c r="R170">
        <f>FALSE</f>
        <v/>
      </c>
      <c r="S170">
        <f>IF(ISNUMBER(G170),B170&lt;G170,FALSE)</f>
        <v/>
      </c>
      <c r="T170">
        <f>OR(O170,P170,Q170,R170,S170)</f>
        <v/>
      </c>
    </row>
    <row r="171">
      <c r="A171">
        <f>IF(Prices!A171="","",Prices!A171)</f>
        <v/>
      </c>
      <c r="B171">
        <f>IF(Prices!E171="","",Prices!E171)</f>
        <v/>
      </c>
      <c r="C171">
        <f>IF(Prices!C171="","",Prices!C171)</f>
        <v/>
      </c>
      <c r="D171">
        <f>IF(Prices!D171="","",Prices!D171)</f>
        <v/>
      </c>
      <c r="E171">
        <f>AVERAGE(B122:B171)</f>
        <v/>
      </c>
      <c r="F171" t="inlineStr"/>
      <c r="G171">
        <f>AVERAGE(B152:B171)-2*STDEV.P(B152:B171)</f>
        <v/>
      </c>
      <c r="H171">
        <f>MAX(B171-B170,0)</f>
        <v/>
      </c>
      <c r="I171">
        <f>MAX(B170-B171,0)</f>
        <v/>
      </c>
      <c r="J171">
        <f>(J170*13+H171)/14</f>
        <v/>
      </c>
      <c r="K171">
        <f>(K170*13+I171)/14</f>
        <v/>
      </c>
      <c r="L171">
        <f>IF(K171=0,100,100-100/(1+J171/K171))</f>
        <v/>
      </c>
      <c r="M171">
        <f>IF(MAX(C158:C171)=MIN(D158:D171),50,100*(B171-MIN(D158:D171))/(MAX(C158:C171)-MIN(D158:D171)))</f>
        <v/>
      </c>
      <c r="N171">
        <f>AVERAGE(M169:M171)</f>
        <v/>
      </c>
      <c r="O171">
        <f>IF(ISNUMBER(L171),L171&lt;30,FALSE)</f>
        <v/>
      </c>
      <c r="P171">
        <f>IF(ISNUMBER(N171),N171&lt;20,FALSE)</f>
        <v/>
      </c>
      <c r="Q171">
        <f>IF(AND(ISNUMBER(E151),ISNUMBER(E171)),AND(E171&gt;E151,B171&lt;=E171*1.01,B170&gt;E170*1.01),FALSE)</f>
        <v/>
      </c>
      <c r="R171">
        <f>FALSE</f>
        <v/>
      </c>
      <c r="S171">
        <f>IF(ISNUMBER(G171),B171&lt;G171,FALSE)</f>
        <v/>
      </c>
      <c r="T171">
        <f>OR(O171,P171,Q171,R171,S171)</f>
        <v/>
      </c>
    </row>
    <row r="172">
      <c r="A172">
        <f>IF(Prices!A172="","",Prices!A172)</f>
        <v/>
      </c>
      <c r="B172">
        <f>IF(Prices!E172="","",Prices!E172)</f>
        <v/>
      </c>
      <c r="C172">
        <f>IF(Prices!C172="","",Prices!C172)</f>
        <v/>
      </c>
      <c r="D172">
        <f>IF(Prices!D172="","",Prices!D172)</f>
        <v/>
      </c>
      <c r="E172">
        <f>AVERAGE(B123:B172)</f>
        <v/>
      </c>
      <c r="F172" t="inlineStr"/>
      <c r="G172">
        <f>AVERAGE(B153:B172)-2*STDEV.P(B153:B172)</f>
        <v/>
      </c>
      <c r="H172">
        <f>MAX(B172-B171,0)</f>
        <v/>
      </c>
      <c r="I172">
        <f>MAX(B171-B172,0)</f>
        <v/>
      </c>
      <c r="J172">
        <f>(J171*13+H172)/14</f>
        <v/>
      </c>
      <c r="K172">
        <f>(K171*13+I172)/14</f>
        <v/>
      </c>
      <c r="L172">
        <f>IF(K172=0,100,100-100/(1+J172/K172))</f>
        <v/>
      </c>
      <c r="M172">
        <f>IF(MAX(C159:C172)=MIN(D159:D172),50,100*(B172-MIN(D159:D172))/(MAX(C159:C172)-MIN(D159:D172)))</f>
        <v/>
      </c>
      <c r="N172">
        <f>AVERAGE(M170:M172)</f>
        <v/>
      </c>
      <c r="O172">
        <f>IF(ISNUMBER(L172),L172&lt;30,FALSE)</f>
        <v/>
      </c>
      <c r="P172">
        <f>IF(ISNUMBER(N172),N172&lt;20,FALSE)</f>
        <v/>
      </c>
      <c r="Q172">
        <f>IF(AND(ISNUMBER(E152),ISNUMBER(E172)),AND(E172&gt;E152,B172&lt;=E172*1.01,B171&gt;E171*1.01),FALSE)</f>
        <v/>
      </c>
      <c r="R172">
        <f>FALSE</f>
        <v/>
      </c>
      <c r="S172">
        <f>IF(ISNUMBER(G172),B172&lt;G172,FALSE)</f>
        <v/>
      </c>
      <c r="T172">
        <f>OR(O172,P172,Q172,R172,S172)</f>
        <v/>
      </c>
    </row>
    <row r="173">
      <c r="A173">
        <f>IF(Prices!A173="","",Prices!A173)</f>
        <v/>
      </c>
      <c r="B173">
        <f>IF(Prices!E173="","",Prices!E173)</f>
        <v/>
      </c>
      <c r="C173">
        <f>IF(Prices!C173="","",Prices!C173)</f>
        <v/>
      </c>
      <c r="D173">
        <f>IF(Prices!D173="","",Prices!D173)</f>
        <v/>
      </c>
      <c r="E173">
        <f>AVERAGE(B124:B173)</f>
        <v/>
      </c>
      <c r="F173" t="inlineStr"/>
      <c r="G173">
        <f>AVERAGE(B154:B173)-2*STDEV.P(B154:B173)</f>
        <v/>
      </c>
      <c r="H173">
        <f>MAX(B173-B172,0)</f>
        <v/>
      </c>
      <c r="I173">
        <f>MAX(B172-B173,0)</f>
        <v/>
      </c>
      <c r="J173">
        <f>(J172*13+H173)/14</f>
        <v/>
      </c>
      <c r="K173">
        <f>(K172*13+I173)/14</f>
        <v/>
      </c>
      <c r="L173">
        <f>IF(K173=0,100,100-100/(1+J173/K173))</f>
        <v/>
      </c>
      <c r="M173">
        <f>IF(MAX(C160:C173)=MIN(D160:D173),50,100*(B173-MIN(D160:D173))/(MAX(C160:C173)-MIN(D160:D173)))</f>
        <v/>
      </c>
      <c r="N173">
        <f>AVERAGE(M171:M173)</f>
        <v/>
      </c>
      <c r="O173">
        <f>IF(ISNUMBER(L173),L173&lt;30,FALSE)</f>
        <v/>
      </c>
      <c r="P173">
        <f>IF(ISNUMBER(N173),N173&lt;20,FALSE)</f>
        <v/>
      </c>
      <c r="Q173">
        <f>IF(AND(ISNUMBER(E153),ISNUMBER(E173)),AND(E173&gt;E153,B173&lt;=E173*1.01,B172&gt;E172*1.01),FALSE)</f>
        <v/>
      </c>
      <c r="R173">
        <f>FALSE</f>
        <v/>
      </c>
      <c r="S173">
        <f>IF(ISNUMBER(G173),B173&lt;G173,FALSE)</f>
        <v/>
      </c>
      <c r="T173">
        <f>OR(O173,P173,Q173,R173,S173)</f>
        <v/>
      </c>
    </row>
    <row r="174">
      <c r="A174">
        <f>IF(Prices!A174="","",Prices!A174)</f>
        <v/>
      </c>
      <c r="B174">
        <f>IF(Prices!E174="","",Prices!E174)</f>
        <v/>
      </c>
      <c r="C174">
        <f>IF(Prices!C174="","",Prices!C174)</f>
        <v/>
      </c>
      <c r="D174">
        <f>IF(Prices!D174="","",Prices!D174)</f>
        <v/>
      </c>
      <c r="E174">
        <f>AVERAGE(B125:B174)</f>
        <v/>
      </c>
      <c r="F174" t="inlineStr"/>
      <c r="G174">
        <f>AVERAGE(B155:B174)-2*STDEV.P(B155:B174)</f>
        <v/>
      </c>
      <c r="H174">
        <f>MAX(B174-B173,0)</f>
        <v/>
      </c>
      <c r="I174">
        <f>MAX(B173-B174,0)</f>
        <v/>
      </c>
      <c r="J174">
        <f>(J173*13+H174)/14</f>
        <v/>
      </c>
      <c r="K174">
        <f>(K173*13+I174)/14</f>
        <v/>
      </c>
      <c r="L174">
        <f>IF(K174=0,100,100-100/(1+J174/K174))</f>
        <v/>
      </c>
      <c r="M174">
        <f>IF(MAX(C161:C174)=MIN(D161:D174),50,100*(B174-MIN(D161:D174))/(MAX(C161:C174)-MIN(D161:D174)))</f>
        <v/>
      </c>
      <c r="N174">
        <f>AVERAGE(M172:M174)</f>
        <v/>
      </c>
      <c r="O174">
        <f>IF(ISNUMBER(L174),L174&lt;30,FALSE)</f>
        <v/>
      </c>
      <c r="P174">
        <f>IF(ISNUMBER(N174),N174&lt;20,FALSE)</f>
        <v/>
      </c>
      <c r="Q174">
        <f>IF(AND(ISNUMBER(E154),ISNUMBER(E174)),AND(E174&gt;E154,B174&lt;=E174*1.01,B173&gt;E173*1.01),FALSE)</f>
        <v/>
      </c>
      <c r="R174">
        <f>FALSE</f>
        <v/>
      </c>
      <c r="S174">
        <f>IF(ISNUMBER(G174),B174&lt;G174,FALSE)</f>
        <v/>
      </c>
      <c r="T174">
        <f>OR(O174,P174,Q174,R174,S174)</f>
        <v/>
      </c>
    </row>
    <row r="175">
      <c r="A175">
        <f>IF(Prices!A175="","",Prices!A175)</f>
        <v/>
      </c>
      <c r="B175">
        <f>IF(Prices!E175="","",Prices!E175)</f>
        <v/>
      </c>
      <c r="C175">
        <f>IF(Prices!C175="","",Prices!C175)</f>
        <v/>
      </c>
      <c r="D175">
        <f>IF(Prices!D175="","",Prices!D175)</f>
        <v/>
      </c>
      <c r="E175">
        <f>AVERAGE(B126:B175)</f>
        <v/>
      </c>
      <c r="F175" t="inlineStr"/>
      <c r="G175">
        <f>AVERAGE(B156:B175)-2*STDEV.P(B156:B175)</f>
        <v/>
      </c>
      <c r="H175">
        <f>MAX(B175-B174,0)</f>
        <v/>
      </c>
      <c r="I175">
        <f>MAX(B174-B175,0)</f>
        <v/>
      </c>
      <c r="J175">
        <f>(J174*13+H175)/14</f>
        <v/>
      </c>
      <c r="K175">
        <f>(K174*13+I175)/14</f>
        <v/>
      </c>
      <c r="L175">
        <f>IF(K175=0,100,100-100/(1+J175/K175))</f>
        <v/>
      </c>
      <c r="M175">
        <f>IF(MAX(C162:C175)=MIN(D162:D175),50,100*(B175-MIN(D162:D175))/(MAX(C162:C175)-MIN(D162:D175)))</f>
        <v/>
      </c>
      <c r="N175">
        <f>AVERAGE(M173:M175)</f>
        <v/>
      </c>
      <c r="O175">
        <f>IF(ISNUMBER(L175),L175&lt;30,FALSE)</f>
        <v/>
      </c>
      <c r="P175">
        <f>IF(ISNUMBER(N175),N175&lt;20,FALSE)</f>
        <v/>
      </c>
      <c r="Q175">
        <f>IF(AND(ISNUMBER(E155),ISNUMBER(E175)),AND(E175&gt;E155,B175&lt;=E175*1.01,B174&gt;E174*1.01),FALSE)</f>
        <v/>
      </c>
      <c r="R175">
        <f>FALSE</f>
        <v/>
      </c>
      <c r="S175">
        <f>IF(ISNUMBER(G175),B175&lt;G175,FALSE)</f>
        <v/>
      </c>
      <c r="T175">
        <f>OR(O175,P175,Q175,R175,S175)</f>
        <v/>
      </c>
    </row>
    <row r="176">
      <c r="A176">
        <f>IF(Prices!A176="","",Prices!A176)</f>
        <v/>
      </c>
      <c r="B176">
        <f>IF(Prices!E176="","",Prices!E176)</f>
        <v/>
      </c>
      <c r="C176">
        <f>IF(Prices!C176="","",Prices!C176)</f>
        <v/>
      </c>
      <c r="D176">
        <f>IF(Prices!D176="","",Prices!D176)</f>
        <v/>
      </c>
      <c r="E176">
        <f>AVERAGE(B127:B176)</f>
        <v/>
      </c>
      <c r="F176" t="inlineStr"/>
      <c r="G176">
        <f>AVERAGE(B157:B176)-2*STDEV.P(B157:B176)</f>
        <v/>
      </c>
      <c r="H176">
        <f>MAX(B176-B175,0)</f>
        <v/>
      </c>
      <c r="I176">
        <f>MAX(B175-B176,0)</f>
        <v/>
      </c>
      <c r="J176">
        <f>(J175*13+H176)/14</f>
        <v/>
      </c>
      <c r="K176">
        <f>(K175*13+I176)/14</f>
        <v/>
      </c>
      <c r="L176">
        <f>IF(K176=0,100,100-100/(1+J176/K176))</f>
        <v/>
      </c>
      <c r="M176">
        <f>IF(MAX(C163:C176)=MIN(D163:D176),50,100*(B176-MIN(D163:D176))/(MAX(C163:C176)-MIN(D163:D176)))</f>
        <v/>
      </c>
      <c r="N176">
        <f>AVERAGE(M174:M176)</f>
        <v/>
      </c>
      <c r="O176">
        <f>IF(ISNUMBER(L176),L176&lt;30,FALSE)</f>
        <v/>
      </c>
      <c r="P176">
        <f>IF(ISNUMBER(N176),N176&lt;20,FALSE)</f>
        <v/>
      </c>
      <c r="Q176">
        <f>IF(AND(ISNUMBER(E156),ISNUMBER(E176)),AND(E176&gt;E156,B176&lt;=E176*1.01,B175&gt;E175*1.01),FALSE)</f>
        <v/>
      </c>
      <c r="R176">
        <f>FALSE</f>
        <v/>
      </c>
      <c r="S176">
        <f>IF(ISNUMBER(G176),B176&lt;G176,FALSE)</f>
        <v/>
      </c>
      <c r="T176">
        <f>OR(O176,P176,Q176,R176,S176)</f>
        <v/>
      </c>
    </row>
    <row r="177">
      <c r="A177">
        <f>IF(Prices!A177="","",Prices!A177)</f>
        <v/>
      </c>
      <c r="B177">
        <f>IF(Prices!E177="","",Prices!E177)</f>
        <v/>
      </c>
      <c r="C177">
        <f>IF(Prices!C177="","",Prices!C177)</f>
        <v/>
      </c>
      <c r="D177">
        <f>IF(Prices!D177="","",Prices!D177)</f>
        <v/>
      </c>
      <c r="E177">
        <f>AVERAGE(B128:B177)</f>
        <v/>
      </c>
      <c r="F177" t="inlineStr"/>
      <c r="G177">
        <f>AVERAGE(B158:B177)-2*STDEV.P(B158:B177)</f>
        <v/>
      </c>
      <c r="H177">
        <f>MAX(B177-B176,0)</f>
        <v/>
      </c>
      <c r="I177">
        <f>MAX(B176-B177,0)</f>
        <v/>
      </c>
      <c r="J177">
        <f>(J176*13+H177)/14</f>
        <v/>
      </c>
      <c r="K177">
        <f>(K176*13+I177)/14</f>
        <v/>
      </c>
      <c r="L177">
        <f>IF(K177=0,100,100-100/(1+J177/K177))</f>
        <v/>
      </c>
      <c r="M177">
        <f>IF(MAX(C164:C177)=MIN(D164:D177),50,100*(B177-MIN(D164:D177))/(MAX(C164:C177)-MIN(D164:D177)))</f>
        <v/>
      </c>
      <c r="N177">
        <f>AVERAGE(M175:M177)</f>
        <v/>
      </c>
      <c r="O177">
        <f>IF(ISNUMBER(L177),L177&lt;30,FALSE)</f>
        <v/>
      </c>
      <c r="P177">
        <f>IF(ISNUMBER(N177),N177&lt;20,FALSE)</f>
        <v/>
      </c>
      <c r="Q177">
        <f>IF(AND(ISNUMBER(E157),ISNUMBER(E177)),AND(E177&gt;E157,B177&lt;=E177*1.01,B176&gt;E176*1.01),FALSE)</f>
        <v/>
      </c>
      <c r="R177">
        <f>FALSE</f>
        <v/>
      </c>
      <c r="S177">
        <f>IF(ISNUMBER(G177),B177&lt;G177,FALSE)</f>
        <v/>
      </c>
      <c r="T177">
        <f>OR(O177,P177,Q177,R177,S177)</f>
        <v/>
      </c>
    </row>
    <row r="178">
      <c r="A178">
        <f>IF(Prices!A178="","",Prices!A178)</f>
        <v/>
      </c>
      <c r="B178">
        <f>IF(Prices!E178="","",Prices!E178)</f>
        <v/>
      </c>
      <c r="C178">
        <f>IF(Prices!C178="","",Prices!C178)</f>
        <v/>
      </c>
      <c r="D178">
        <f>IF(Prices!D178="","",Prices!D178)</f>
        <v/>
      </c>
      <c r="E178">
        <f>AVERAGE(B129:B178)</f>
        <v/>
      </c>
      <c r="F178" t="inlineStr"/>
      <c r="G178">
        <f>AVERAGE(B159:B178)-2*STDEV.P(B159:B178)</f>
        <v/>
      </c>
      <c r="H178">
        <f>MAX(B178-B177,0)</f>
        <v/>
      </c>
      <c r="I178">
        <f>MAX(B177-B178,0)</f>
        <v/>
      </c>
      <c r="J178">
        <f>(J177*13+H178)/14</f>
        <v/>
      </c>
      <c r="K178">
        <f>(K177*13+I178)/14</f>
        <v/>
      </c>
      <c r="L178">
        <f>IF(K178=0,100,100-100/(1+J178/K178))</f>
        <v/>
      </c>
      <c r="M178">
        <f>IF(MAX(C165:C178)=MIN(D165:D178),50,100*(B178-MIN(D165:D178))/(MAX(C165:C178)-MIN(D165:D178)))</f>
        <v/>
      </c>
      <c r="N178">
        <f>AVERAGE(M176:M178)</f>
        <v/>
      </c>
      <c r="O178">
        <f>IF(ISNUMBER(L178),L178&lt;30,FALSE)</f>
        <v/>
      </c>
      <c r="P178">
        <f>IF(ISNUMBER(N178),N178&lt;20,FALSE)</f>
        <v/>
      </c>
      <c r="Q178">
        <f>IF(AND(ISNUMBER(E158),ISNUMBER(E178)),AND(E178&gt;E158,B178&lt;=E178*1.01,B177&gt;E177*1.01),FALSE)</f>
        <v/>
      </c>
      <c r="R178">
        <f>FALSE</f>
        <v/>
      </c>
      <c r="S178">
        <f>IF(ISNUMBER(G178),B178&lt;G178,FALSE)</f>
        <v/>
      </c>
      <c r="T178">
        <f>OR(O178,P178,Q178,R178,S178)</f>
        <v/>
      </c>
    </row>
    <row r="179">
      <c r="A179">
        <f>IF(Prices!A179="","",Prices!A179)</f>
        <v/>
      </c>
      <c r="B179">
        <f>IF(Prices!E179="","",Prices!E179)</f>
        <v/>
      </c>
      <c r="C179">
        <f>IF(Prices!C179="","",Prices!C179)</f>
        <v/>
      </c>
      <c r="D179">
        <f>IF(Prices!D179="","",Prices!D179)</f>
        <v/>
      </c>
      <c r="E179">
        <f>AVERAGE(B130:B179)</f>
        <v/>
      </c>
      <c r="F179" t="inlineStr"/>
      <c r="G179">
        <f>AVERAGE(B160:B179)-2*STDEV.P(B160:B179)</f>
        <v/>
      </c>
      <c r="H179">
        <f>MAX(B179-B178,0)</f>
        <v/>
      </c>
      <c r="I179">
        <f>MAX(B178-B179,0)</f>
        <v/>
      </c>
      <c r="J179">
        <f>(J178*13+H179)/14</f>
        <v/>
      </c>
      <c r="K179">
        <f>(K178*13+I179)/14</f>
        <v/>
      </c>
      <c r="L179">
        <f>IF(K179=0,100,100-100/(1+J179/K179))</f>
        <v/>
      </c>
      <c r="M179">
        <f>IF(MAX(C166:C179)=MIN(D166:D179),50,100*(B179-MIN(D166:D179))/(MAX(C166:C179)-MIN(D166:D179)))</f>
        <v/>
      </c>
      <c r="N179">
        <f>AVERAGE(M177:M179)</f>
        <v/>
      </c>
      <c r="O179">
        <f>IF(ISNUMBER(L179),L179&lt;30,FALSE)</f>
        <v/>
      </c>
      <c r="P179">
        <f>IF(ISNUMBER(N179),N179&lt;20,FALSE)</f>
        <v/>
      </c>
      <c r="Q179">
        <f>IF(AND(ISNUMBER(E159),ISNUMBER(E179)),AND(E179&gt;E159,B179&lt;=E179*1.01,B178&gt;E178*1.01),FALSE)</f>
        <v/>
      </c>
      <c r="R179">
        <f>FALSE</f>
        <v/>
      </c>
      <c r="S179">
        <f>IF(ISNUMBER(G179),B179&lt;G179,FALSE)</f>
        <v/>
      </c>
      <c r="T179">
        <f>OR(O179,P179,Q179,R179,S179)</f>
        <v/>
      </c>
    </row>
    <row r="180">
      <c r="A180">
        <f>IF(Prices!A180="","",Prices!A180)</f>
        <v/>
      </c>
      <c r="B180">
        <f>IF(Prices!E180="","",Prices!E180)</f>
        <v/>
      </c>
      <c r="C180">
        <f>IF(Prices!C180="","",Prices!C180)</f>
        <v/>
      </c>
      <c r="D180">
        <f>IF(Prices!D180="","",Prices!D180)</f>
        <v/>
      </c>
      <c r="E180">
        <f>AVERAGE(B131:B180)</f>
        <v/>
      </c>
      <c r="F180" t="inlineStr"/>
      <c r="G180">
        <f>AVERAGE(B161:B180)-2*STDEV.P(B161:B180)</f>
        <v/>
      </c>
      <c r="H180">
        <f>MAX(B180-B179,0)</f>
        <v/>
      </c>
      <c r="I180">
        <f>MAX(B179-B180,0)</f>
        <v/>
      </c>
      <c r="J180">
        <f>(J179*13+H180)/14</f>
        <v/>
      </c>
      <c r="K180">
        <f>(K179*13+I180)/14</f>
        <v/>
      </c>
      <c r="L180">
        <f>IF(K180=0,100,100-100/(1+J180/K180))</f>
        <v/>
      </c>
      <c r="M180">
        <f>IF(MAX(C167:C180)=MIN(D167:D180),50,100*(B180-MIN(D167:D180))/(MAX(C167:C180)-MIN(D167:D180)))</f>
        <v/>
      </c>
      <c r="N180">
        <f>AVERAGE(M178:M180)</f>
        <v/>
      </c>
      <c r="O180">
        <f>IF(ISNUMBER(L180),L180&lt;30,FALSE)</f>
        <v/>
      </c>
      <c r="P180">
        <f>IF(ISNUMBER(N180),N180&lt;20,FALSE)</f>
        <v/>
      </c>
      <c r="Q180">
        <f>IF(AND(ISNUMBER(E160),ISNUMBER(E180)),AND(E180&gt;E160,B180&lt;=E180*1.01,B179&gt;E179*1.01),FALSE)</f>
        <v/>
      </c>
      <c r="R180">
        <f>FALSE</f>
        <v/>
      </c>
      <c r="S180">
        <f>IF(ISNUMBER(G180),B180&lt;G180,FALSE)</f>
        <v/>
      </c>
      <c r="T180">
        <f>OR(O180,P180,Q180,R180,S180)</f>
        <v/>
      </c>
    </row>
    <row r="181">
      <c r="A181">
        <f>IF(Prices!A181="","",Prices!A181)</f>
        <v/>
      </c>
      <c r="B181">
        <f>IF(Prices!E181="","",Prices!E181)</f>
        <v/>
      </c>
      <c r="C181">
        <f>IF(Prices!C181="","",Prices!C181)</f>
        <v/>
      </c>
      <c r="D181">
        <f>IF(Prices!D181="","",Prices!D181)</f>
        <v/>
      </c>
      <c r="E181">
        <f>AVERAGE(B132:B181)</f>
        <v/>
      </c>
      <c r="F181" t="inlineStr"/>
      <c r="G181">
        <f>AVERAGE(B162:B181)-2*STDEV.P(B162:B181)</f>
        <v/>
      </c>
      <c r="H181">
        <f>MAX(B181-B180,0)</f>
        <v/>
      </c>
      <c r="I181">
        <f>MAX(B180-B181,0)</f>
        <v/>
      </c>
      <c r="J181">
        <f>(J180*13+H181)/14</f>
        <v/>
      </c>
      <c r="K181">
        <f>(K180*13+I181)/14</f>
        <v/>
      </c>
      <c r="L181">
        <f>IF(K181=0,100,100-100/(1+J181/K181))</f>
        <v/>
      </c>
      <c r="M181">
        <f>IF(MAX(C168:C181)=MIN(D168:D181),50,100*(B181-MIN(D168:D181))/(MAX(C168:C181)-MIN(D168:D181)))</f>
        <v/>
      </c>
      <c r="N181">
        <f>AVERAGE(M179:M181)</f>
        <v/>
      </c>
      <c r="O181">
        <f>IF(ISNUMBER(L181),L181&lt;30,FALSE)</f>
        <v/>
      </c>
      <c r="P181">
        <f>IF(ISNUMBER(N181),N181&lt;20,FALSE)</f>
        <v/>
      </c>
      <c r="Q181">
        <f>IF(AND(ISNUMBER(E161),ISNUMBER(E181)),AND(E181&gt;E161,B181&lt;=E181*1.01,B180&gt;E180*1.01),FALSE)</f>
        <v/>
      </c>
      <c r="R181">
        <f>FALSE</f>
        <v/>
      </c>
      <c r="S181">
        <f>IF(ISNUMBER(G181),B181&lt;G181,FALSE)</f>
        <v/>
      </c>
      <c r="T181">
        <f>OR(O181,P181,Q181,R181,S181)</f>
        <v/>
      </c>
    </row>
    <row r="182">
      <c r="A182">
        <f>IF(Prices!A182="","",Prices!A182)</f>
        <v/>
      </c>
      <c r="B182">
        <f>IF(Prices!E182="","",Prices!E182)</f>
        <v/>
      </c>
      <c r="C182">
        <f>IF(Prices!C182="","",Prices!C182)</f>
        <v/>
      </c>
      <c r="D182">
        <f>IF(Prices!D182="","",Prices!D182)</f>
        <v/>
      </c>
      <c r="E182">
        <f>AVERAGE(B133:B182)</f>
        <v/>
      </c>
      <c r="F182" t="inlineStr"/>
      <c r="G182">
        <f>AVERAGE(B163:B182)-2*STDEV.P(B163:B182)</f>
        <v/>
      </c>
      <c r="H182">
        <f>MAX(B182-B181,0)</f>
        <v/>
      </c>
      <c r="I182">
        <f>MAX(B181-B182,0)</f>
        <v/>
      </c>
      <c r="J182">
        <f>(J181*13+H182)/14</f>
        <v/>
      </c>
      <c r="K182">
        <f>(K181*13+I182)/14</f>
        <v/>
      </c>
      <c r="L182">
        <f>IF(K182=0,100,100-100/(1+J182/K182))</f>
        <v/>
      </c>
      <c r="M182">
        <f>IF(MAX(C169:C182)=MIN(D169:D182),50,100*(B182-MIN(D169:D182))/(MAX(C169:C182)-MIN(D169:D182)))</f>
        <v/>
      </c>
      <c r="N182">
        <f>AVERAGE(M180:M182)</f>
        <v/>
      </c>
      <c r="O182">
        <f>IF(ISNUMBER(L182),L182&lt;30,FALSE)</f>
        <v/>
      </c>
      <c r="P182">
        <f>IF(ISNUMBER(N182),N182&lt;20,FALSE)</f>
        <v/>
      </c>
      <c r="Q182">
        <f>IF(AND(ISNUMBER(E162),ISNUMBER(E182)),AND(E182&gt;E162,B182&lt;=E182*1.01,B181&gt;E181*1.01),FALSE)</f>
        <v/>
      </c>
      <c r="R182">
        <f>FALSE</f>
        <v/>
      </c>
      <c r="S182">
        <f>IF(ISNUMBER(G182),B182&lt;G182,FALSE)</f>
        <v/>
      </c>
      <c r="T182">
        <f>OR(O182,P182,Q182,R182,S182)</f>
        <v/>
      </c>
    </row>
    <row r="183">
      <c r="A183">
        <f>IF(Prices!A183="","",Prices!A183)</f>
        <v/>
      </c>
      <c r="B183">
        <f>IF(Prices!E183="","",Prices!E183)</f>
        <v/>
      </c>
      <c r="C183">
        <f>IF(Prices!C183="","",Prices!C183)</f>
        <v/>
      </c>
      <c r="D183">
        <f>IF(Prices!D183="","",Prices!D183)</f>
        <v/>
      </c>
      <c r="E183">
        <f>AVERAGE(B134:B183)</f>
        <v/>
      </c>
      <c r="F183" t="inlineStr"/>
      <c r="G183">
        <f>AVERAGE(B164:B183)-2*STDEV.P(B164:B183)</f>
        <v/>
      </c>
      <c r="H183">
        <f>MAX(B183-B182,0)</f>
        <v/>
      </c>
      <c r="I183">
        <f>MAX(B182-B183,0)</f>
        <v/>
      </c>
      <c r="J183">
        <f>(J182*13+H183)/14</f>
        <v/>
      </c>
      <c r="K183">
        <f>(K182*13+I183)/14</f>
        <v/>
      </c>
      <c r="L183">
        <f>IF(K183=0,100,100-100/(1+J183/K183))</f>
        <v/>
      </c>
      <c r="M183">
        <f>IF(MAX(C170:C183)=MIN(D170:D183),50,100*(B183-MIN(D170:D183))/(MAX(C170:C183)-MIN(D170:D183)))</f>
        <v/>
      </c>
      <c r="N183">
        <f>AVERAGE(M181:M183)</f>
        <v/>
      </c>
      <c r="O183">
        <f>IF(ISNUMBER(L183),L183&lt;30,FALSE)</f>
        <v/>
      </c>
      <c r="P183">
        <f>IF(ISNUMBER(N183),N183&lt;20,FALSE)</f>
        <v/>
      </c>
      <c r="Q183">
        <f>IF(AND(ISNUMBER(E163),ISNUMBER(E183)),AND(E183&gt;E163,B183&lt;=E183*1.01,B182&gt;E182*1.01),FALSE)</f>
        <v/>
      </c>
      <c r="R183">
        <f>FALSE</f>
        <v/>
      </c>
      <c r="S183">
        <f>IF(ISNUMBER(G183),B183&lt;G183,FALSE)</f>
        <v/>
      </c>
      <c r="T183">
        <f>OR(O183,P183,Q183,R183,S183)</f>
        <v/>
      </c>
    </row>
    <row r="184">
      <c r="A184">
        <f>IF(Prices!A184="","",Prices!A184)</f>
        <v/>
      </c>
      <c r="B184">
        <f>IF(Prices!E184="","",Prices!E184)</f>
        <v/>
      </c>
      <c r="C184">
        <f>IF(Prices!C184="","",Prices!C184)</f>
        <v/>
      </c>
      <c r="D184">
        <f>IF(Prices!D184="","",Prices!D184)</f>
        <v/>
      </c>
      <c r="E184">
        <f>AVERAGE(B135:B184)</f>
        <v/>
      </c>
      <c r="F184" t="inlineStr"/>
      <c r="G184">
        <f>AVERAGE(B165:B184)-2*STDEV.P(B165:B184)</f>
        <v/>
      </c>
      <c r="H184">
        <f>MAX(B184-B183,0)</f>
        <v/>
      </c>
      <c r="I184">
        <f>MAX(B183-B184,0)</f>
        <v/>
      </c>
      <c r="J184">
        <f>(J183*13+H184)/14</f>
        <v/>
      </c>
      <c r="K184">
        <f>(K183*13+I184)/14</f>
        <v/>
      </c>
      <c r="L184">
        <f>IF(K184=0,100,100-100/(1+J184/K184))</f>
        <v/>
      </c>
      <c r="M184">
        <f>IF(MAX(C171:C184)=MIN(D171:D184),50,100*(B184-MIN(D171:D184))/(MAX(C171:C184)-MIN(D171:D184)))</f>
        <v/>
      </c>
      <c r="N184">
        <f>AVERAGE(M182:M184)</f>
        <v/>
      </c>
      <c r="O184">
        <f>IF(ISNUMBER(L184),L184&lt;30,FALSE)</f>
        <v/>
      </c>
      <c r="P184">
        <f>IF(ISNUMBER(N184),N184&lt;20,FALSE)</f>
        <v/>
      </c>
      <c r="Q184">
        <f>IF(AND(ISNUMBER(E164),ISNUMBER(E184)),AND(E184&gt;E164,B184&lt;=E184*1.01,B183&gt;E183*1.01),FALSE)</f>
        <v/>
      </c>
      <c r="R184">
        <f>FALSE</f>
        <v/>
      </c>
      <c r="S184">
        <f>IF(ISNUMBER(G184),B184&lt;G184,FALSE)</f>
        <v/>
      </c>
      <c r="T184">
        <f>OR(O184,P184,Q184,R184,S184)</f>
        <v/>
      </c>
    </row>
    <row r="185">
      <c r="A185">
        <f>IF(Prices!A185="","",Prices!A185)</f>
        <v/>
      </c>
      <c r="B185">
        <f>IF(Prices!E185="","",Prices!E185)</f>
        <v/>
      </c>
      <c r="C185">
        <f>IF(Prices!C185="","",Prices!C185)</f>
        <v/>
      </c>
      <c r="D185">
        <f>IF(Prices!D185="","",Prices!D185)</f>
        <v/>
      </c>
      <c r="E185">
        <f>AVERAGE(B136:B185)</f>
        <v/>
      </c>
      <c r="F185" t="inlineStr"/>
      <c r="G185">
        <f>AVERAGE(B166:B185)-2*STDEV.P(B166:B185)</f>
        <v/>
      </c>
      <c r="H185">
        <f>MAX(B185-B184,0)</f>
        <v/>
      </c>
      <c r="I185">
        <f>MAX(B184-B185,0)</f>
        <v/>
      </c>
      <c r="J185">
        <f>(J184*13+H185)/14</f>
        <v/>
      </c>
      <c r="K185">
        <f>(K184*13+I185)/14</f>
        <v/>
      </c>
      <c r="L185">
        <f>IF(K185=0,100,100-100/(1+J185/K185))</f>
        <v/>
      </c>
      <c r="M185">
        <f>IF(MAX(C172:C185)=MIN(D172:D185),50,100*(B185-MIN(D172:D185))/(MAX(C172:C185)-MIN(D172:D185)))</f>
        <v/>
      </c>
      <c r="N185">
        <f>AVERAGE(M183:M185)</f>
        <v/>
      </c>
      <c r="O185">
        <f>IF(ISNUMBER(L185),L185&lt;30,FALSE)</f>
        <v/>
      </c>
      <c r="P185">
        <f>IF(ISNUMBER(N185),N185&lt;20,FALSE)</f>
        <v/>
      </c>
      <c r="Q185">
        <f>IF(AND(ISNUMBER(E165),ISNUMBER(E185)),AND(E185&gt;E165,B185&lt;=E185*1.01,B184&gt;E184*1.01),FALSE)</f>
        <v/>
      </c>
      <c r="R185">
        <f>FALSE</f>
        <v/>
      </c>
      <c r="S185">
        <f>IF(ISNUMBER(G185),B185&lt;G185,FALSE)</f>
        <v/>
      </c>
      <c r="T185">
        <f>OR(O185,P185,Q185,R185,S185)</f>
        <v/>
      </c>
    </row>
    <row r="186">
      <c r="A186">
        <f>IF(Prices!A186="","",Prices!A186)</f>
        <v/>
      </c>
      <c r="B186">
        <f>IF(Prices!E186="","",Prices!E186)</f>
        <v/>
      </c>
      <c r="C186">
        <f>IF(Prices!C186="","",Prices!C186)</f>
        <v/>
      </c>
      <c r="D186">
        <f>IF(Prices!D186="","",Prices!D186)</f>
        <v/>
      </c>
      <c r="E186">
        <f>AVERAGE(B137:B186)</f>
        <v/>
      </c>
      <c r="F186" t="inlineStr"/>
      <c r="G186">
        <f>AVERAGE(B167:B186)-2*STDEV.P(B167:B186)</f>
        <v/>
      </c>
      <c r="H186">
        <f>MAX(B186-B185,0)</f>
        <v/>
      </c>
      <c r="I186">
        <f>MAX(B185-B186,0)</f>
        <v/>
      </c>
      <c r="J186">
        <f>(J185*13+H186)/14</f>
        <v/>
      </c>
      <c r="K186">
        <f>(K185*13+I186)/14</f>
        <v/>
      </c>
      <c r="L186">
        <f>IF(K186=0,100,100-100/(1+J186/K186))</f>
        <v/>
      </c>
      <c r="M186">
        <f>IF(MAX(C173:C186)=MIN(D173:D186),50,100*(B186-MIN(D173:D186))/(MAX(C173:C186)-MIN(D173:D186)))</f>
        <v/>
      </c>
      <c r="N186">
        <f>AVERAGE(M184:M186)</f>
        <v/>
      </c>
      <c r="O186">
        <f>IF(ISNUMBER(L186),L186&lt;30,FALSE)</f>
        <v/>
      </c>
      <c r="P186">
        <f>IF(ISNUMBER(N186),N186&lt;20,FALSE)</f>
        <v/>
      </c>
      <c r="Q186">
        <f>IF(AND(ISNUMBER(E166),ISNUMBER(E186)),AND(E186&gt;E166,B186&lt;=E186*1.01,B185&gt;E185*1.01),FALSE)</f>
        <v/>
      </c>
      <c r="R186">
        <f>FALSE</f>
        <v/>
      </c>
      <c r="S186">
        <f>IF(ISNUMBER(G186),B186&lt;G186,FALSE)</f>
        <v/>
      </c>
      <c r="T186">
        <f>OR(O186,P186,Q186,R186,S186)</f>
        <v/>
      </c>
    </row>
    <row r="187">
      <c r="A187">
        <f>IF(Prices!A187="","",Prices!A187)</f>
        <v/>
      </c>
      <c r="B187">
        <f>IF(Prices!E187="","",Prices!E187)</f>
        <v/>
      </c>
      <c r="C187">
        <f>IF(Prices!C187="","",Prices!C187)</f>
        <v/>
      </c>
      <c r="D187">
        <f>IF(Prices!D187="","",Prices!D187)</f>
        <v/>
      </c>
      <c r="E187">
        <f>AVERAGE(B138:B187)</f>
        <v/>
      </c>
      <c r="F187" t="inlineStr"/>
      <c r="G187">
        <f>AVERAGE(B168:B187)-2*STDEV.P(B168:B187)</f>
        <v/>
      </c>
      <c r="H187">
        <f>MAX(B187-B186,0)</f>
        <v/>
      </c>
      <c r="I187">
        <f>MAX(B186-B187,0)</f>
        <v/>
      </c>
      <c r="J187">
        <f>(J186*13+H187)/14</f>
        <v/>
      </c>
      <c r="K187">
        <f>(K186*13+I187)/14</f>
        <v/>
      </c>
      <c r="L187">
        <f>IF(K187=0,100,100-100/(1+J187/K187))</f>
        <v/>
      </c>
      <c r="M187">
        <f>IF(MAX(C174:C187)=MIN(D174:D187),50,100*(B187-MIN(D174:D187))/(MAX(C174:C187)-MIN(D174:D187)))</f>
        <v/>
      </c>
      <c r="N187">
        <f>AVERAGE(M185:M187)</f>
        <v/>
      </c>
      <c r="O187">
        <f>IF(ISNUMBER(L187),L187&lt;30,FALSE)</f>
        <v/>
      </c>
      <c r="P187">
        <f>IF(ISNUMBER(N187),N187&lt;20,FALSE)</f>
        <v/>
      </c>
      <c r="Q187">
        <f>IF(AND(ISNUMBER(E167),ISNUMBER(E187)),AND(E187&gt;E167,B187&lt;=E187*1.01,B186&gt;E186*1.01),FALSE)</f>
        <v/>
      </c>
      <c r="R187">
        <f>FALSE</f>
        <v/>
      </c>
      <c r="S187">
        <f>IF(ISNUMBER(G187),B187&lt;G187,FALSE)</f>
        <v/>
      </c>
      <c r="T187">
        <f>OR(O187,P187,Q187,R187,S187)</f>
        <v/>
      </c>
    </row>
    <row r="188">
      <c r="A188">
        <f>IF(Prices!A188="","",Prices!A188)</f>
        <v/>
      </c>
      <c r="B188">
        <f>IF(Prices!E188="","",Prices!E188)</f>
        <v/>
      </c>
      <c r="C188">
        <f>IF(Prices!C188="","",Prices!C188)</f>
        <v/>
      </c>
      <c r="D188">
        <f>IF(Prices!D188="","",Prices!D188)</f>
        <v/>
      </c>
      <c r="E188">
        <f>AVERAGE(B139:B188)</f>
        <v/>
      </c>
      <c r="F188" t="inlineStr"/>
      <c r="G188">
        <f>AVERAGE(B169:B188)-2*STDEV.P(B169:B188)</f>
        <v/>
      </c>
      <c r="H188">
        <f>MAX(B188-B187,0)</f>
        <v/>
      </c>
      <c r="I188">
        <f>MAX(B187-B188,0)</f>
        <v/>
      </c>
      <c r="J188">
        <f>(J187*13+H188)/14</f>
        <v/>
      </c>
      <c r="K188">
        <f>(K187*13+I188)/14</f>
        <v/>
      </c>
      <c r="L188">
        <f>IF(K188=0,100,100-100/(1+J188/K188))</f>
        <v/>
      </c>
      <c r="M188">
        <f>IF(MAX(C175:C188)=MIN(D175:D188),50,100*(B188-MIN(D175:D188))/(MAX(C175:C188)-MIN(D175:D188)))</f>
        <v/>
      </c>
      <c r="N188">
        <f>AVERAGE(M186:M188)</f>
        <v/>
      </c>
      <c r="O188">
        <f>IF(ISNUMBER(L188),L188&lt;30,FALSE)</f>
        <v/>
      </c>
      <c r="P188">
        <f>IF(ISNUMBER(N188),N188&lt;20,FALSE)</f>
        <v/>
      </c>
      <c r="Q188">
        <f>IF(AND(ISNUMBER(E168),ISNUMBER(E188)),AND(E188&gt;E168,B188&lt;=E188*1.01,B187&gt;E187*1.01),FALSE)</f>
        <v/>
      </c>
      <c r="R188">
        <f>FALSE</f>
        <v/>
      </c>
      <c r="S188">
        <f>IF(ISNUMBER(G188),B188&lt;G188,FALSE)</f>
        <v/>
      </c>
      <c r="T188">
        <f>OR(O188,P188,Q188,R188,S188)</f>
        <v/>
      </c>
    </row>
    <row r="189">
      <c r="A189">
        <f>IF(Prices!A189="","",Prices!A189)</f>
        <v/>
      </c>
      <c r="B189">
        <f>IF(Prices!E189="","",Prices!E189)</f>
        <v/>
      </c>
      <c r="C189">
        <f>IF(Prices!C189="","",Prices!C189)</f>
        <v/>
      </c>
      <c r="D189">
        <f>IF(Prices!D189="","",Prices!D189)</f>
        <v/>
      </c>
      <c r="E189">
        <f>AVERAGE(B140:B189)</f>
        <v/>
      </c>
      <c r="F189" t="inlineStr"/>
      <c r="G189">
        <f>AVERAGE(B170:B189)-2*STDEV.P(B170:B189)</f>
        <v/>
      </c>
      <c r="H189">
        <f>MAX(B189-B188,0)</f>
        <v/>
      </c>
      <c r="I189">
        <f>MAX(B188-B189,0)</f>
        <v/>
      </c>
      <c r="J189">
        <f>(J188*13+H189)/14</f>
        <v/>
      </c>
      <c r="K189">
        <f>(K188*13+I189)/14</f>
        <v/>
      </c>
      <c r="L189">
        <f>IF(K189=0,100,100-100/(1+J189/K189))</f>
        <v/>
      </c>
      <c r="M189">
        <f>IF(MAX(C176:C189)=MIN(D176:D189),50,100*(B189-MIN(D176:D189))/(MAX(C176:C189)-MIN(D176:D189)))</f>
        <v/>
      </c>
      <c r="N189">
        <f>AVERAGE(M187:M189)</f>
        <v/>
      </c>
      <c r="O189">
        <f>IF(ISNUMBER(L189),L189&lt;30,FALSE)</f>
        <v/>
      </c>
      <c r="P189">
        <f>IF(ISNUMBER(N189),N189&lt;20,FALSE)</f>
        <v/>
      </c>
      <c r="Q189">
        <f>IF(AND(ISNUMBER(E169),ISNUMBER(E189)),AND(E189&gt;E169,B189&lt;=E189*1.01,B188&gt;E188*1.01),FALSE)</f>
        <v/>
      </c>
      <c r="R189">
        <f>FALSE</f>
        <v/>
      </c>
      <c r="S189">
        <f>IF(ISNUMBER(G189),B189&lt;G189,FALSE)</f>
        <v/>
      </c>
      <c r="T189">
        <f>OR(O189,P189,Q189,R189,S189)</f>
        <v/>
      </c>
    </row>
    <row r="190">
      <c r="A190">
        <f>IF(Prices!A190="","",Prices!A190)</f>
        <v/>
      </c>
      <c r="B190">
        <f>IF(Prices!E190="","",Prices!E190)</f>
        <v/>
      </c>
      <c r="C190">
        <f>IF(Prices!C190="","",Prices!C190)</f>
        <v/>
      </c>
      <c r="D190">
        <f>IF(Prices!D190="","",Prices!D190)</f>
        <v/>
      </c>
      <c r="E190">
        <f>AVERAGE(B141:B190)</f>
        <v/>
      </c>
      <c r="F190" t="inlineStr"/>
      <c r="G190">
        <f>AVERAGE(B171:B190)-2*STDEV.P(B171:B190)</f>
        <v/>
      </c>
      <c r="H190">
        <f>MAX(B190-B189,0)</f>
        <v/>
      </c>
      <c r="I190">
        <f>MAX(B189-B190,0)</f>
        <v/>
      </c>
      <c r="J190">
        <f>(J189*13+H190)/14</f>
        <v/>
      </c>
      <c r="K190">
        <f>(K189*13+I190)/14</f>
        <v/>
      </c>
      <c r="L190">
        <f>IF(K190=0,100,100-100/(1+J190/K190))</f>
        <v/>
      </c>
      <c r="M190">
        <f>IF(MAX(C177:C190)=MIN(D177:D190),50,100*(B190-MIN(D177:D190))/(MAX(C177:C190)-MIN(D177:D190)))</f>
        <v/>
      </c>
      <c r="N190">
        <f>AVERAGE(M188:M190)</f>
        <v/>
      </c>
      <c r="O190">
        <f>IF(ISNUMBER(L190),L190&lt;30,FALSE)</f>
        <v/>
      </c>
      <c r="P190">
        <f>IF(ISNUMBER(N190),N190&lt;20,FALSE)</f>
        <v/>
      </c>
      <c r="Q190">
        <f>IF(AND(ISNUMBER(E170),ISNUMBER(E190)),AND(E190&gt;E170,B190&lt;=E190*1.01,B189&gt;E189*1.01),FALSE)</f>
        <v/>
      </c>
      <c r="R190">
        <f>FALSE</f>
        <v/>
      </c>
      <c r="S190">
        <f>IF(ISNUMBER(G190),B190&lt;G190,FALSE)</f>
        <v/>
      </c>
      <c r="T190">
        <f>OR(O190,P190,Q190,R190,S190)</f>
        <v/>
      </c>
    </row>
    <row r="191">
      <c r="A191">
        <f>IF(Prices!A191="","",Prices!A191)</f>
        <v/>
      </c>
      <c r="B191">
        <f>IF(Prices!E191="","",Prices!E191)</f>
        <v/>
      </c>
      <c r="C191">
        <f>IF(Prices!C191="","",Prices!C191)</f>
        <v/>
      </c>
      <c r="D191">
        <f>IF(Prices!D191="","",Prices!D191)</f>
        <v/>
      </c>
      <c r="E191">
        <f>AVERAGE(B142:B191)</f>
        <v/>
      </c>
      <c r="F191" t="inlineStr"/>
      <c r="G191">
        <f>AVERAGE(B172:B191)-2*STDEV.P(B172:B191)</f>
        <v/>
      </c>
      <c r="H191">
        <f>MAX(B191-B190,0)</f>
        <v/>
      </c>
      <c r="I191">
        <f>MAX(B190-B191,0)</f>
        <v/>
      </c>
      <c r="J191">
        <f>(J190*13+H191)/14</f>
        <v/>
      </c>
      <c r="K191">
        <f>(K190*13+I191)/14</f>
        <v/>
      </c>
      <c r="L191">
        <f>IF(K191=0,100,100-100/(1+J191/K191))</f>
        <v/>
      </c>
      <c r="M191">
        <f>IF(MAX(C178:C191)=MIN(D178:D191),50,100*(B191-MIN(D178:D191))/(MAX(C178:C191)-MIN(D178:D191)))</f>
        <v/>
      </c>
      <c r="N191">
        <f>AVERAGE(M189:M191)</f>
        <v/>
      </c>
      <c r="O191">
        <f>IF(ISNUMBER(L191),L191&lt;30,FALSE)</f>
        <v/>
      </c>
      <c r="P191">
        <f>IF(ISNUMBER(N191),N191&lt;20,FALSE)</f>
        <v/>
      </c>
      <c r="Q191">
        <f>IF(AND(ISNUMBER(E171),ISNUMBER(E191)),AND(E191&gt;E171,B191&lt;=E191*1.01,B190&gt;E190*1.01),FALSE)</f>
        <v/>
      </c>
      <c r="R191">
        <f>FALSE</f>
        <v/>
      </c>
      <c r="S191">
        <f>IF(ISNUMBER(G191),B191&lt;G191,FALSE)</f>
        <v/>
      </c>
      <c r="T191">
        <f>OR(O191,P191,Q191,R191,S191)</f>
        <v/>
      </c>
    </row>
    <row r="192">
      <c r="A192">
        <f>IF(Prices!A192="","",Prices!A192)</f>
        <v/>
      </c>
      <c r="B192">
        <f>IF(Prices!E192="","",Prices!E192)</f>
        <v/>
      </c>
      <c r="C192">
        <f>IF(Prices!C192="","",Prices!C192)</f>
        <v/>
      </c>
      <c r="D192">
        <f>IF(Prices!D192="","",Prices!D192)</f>
        <v/>
      </c>
      <c r="E192">
        <f>AVERAGE(B143:B192)</f>
        <v/>
      </c>
      <c r="F192" t="inlineStr"/>
      <c r="G192">
        <f>AVERAGE(B173:B192)-2*STDEV.P(B173:B192)</f>
        <v/>
      </c>
      <c r="H192">
        <f>MAX(B192-B191,0)</f>
        <v/>
      </c>
      <c r="I192">
        <f>MAX(B191-B192,0)</f>
        <v/>
      </c>
      <c r="J192">
        <f>(J191*13+H192)/14</f>
        <v/>
      </c>
      <c r="K192">
        <f>(K191*13+I192)/14</f>
        <v/>
      </c>
      <c r="L192">
        <f>IF(K192=0,100,100-100/(1+J192/K192))</f>
        <v/>
      </c>
      <c r="M192">
        <f>IF(MAX(C179:C192)=MIN(D179:D192),50,100*(B192-MIN(D179:D192))/(MAX(C179:C192)-MIN(D179:D192)))</f>
        <v/>
      </c>
      <c r="N192">
        <f>AVERAGE(M190:M192)</f>
        <v/>
      </c>
      <c r="O192">
        <f>IF(ISNUMBER(L192),L192&lt;30,FALSE)</f>
        <v/>
      </c>
      <c r="P192">
        <f>IF(ISNUMBER(N192),N192&lt;20,FALSE)</f>
        <v/>
      </c>
      <c r="Q192">
        <f>IF(AND(ISNUMBER(E172),ISNUMBER(E192)),AND(E192&gt;E172,B192&lt;=E192*1.01,B191&gt;E191*1.01),FALSE)</f>
        <v/>
      </c>
      <c r="R192">
        <f>FALSE</f>
        <v/>
      </c>
      <c r="S192">
        <f>IF(ISNUMBER(G192),B192&lt;G192,FALSE)</f>
        <v/>
      </c>
      <c r="T192">
        <f>OR(O192,P192,Q192,R192,S192)</f>
        <v/>
      </c>
    </row>
    <row r="193">
      <c r="A193">
        <f>IF(Prices!A193="","",Prices!A193)</f>
        <v/>
      </c>
      <c r="B193">
        <f>IF(Prices!E193="","",Prices!E193)</f>
        <v/>
      </c>
      <c r="C193">
        <f>IF(Prices!C193="","",Prices!C193)</f>
        <v/>
      </c>
      <c r="D193">
        <f>IF(Prices!D193="","",Prices!D193)</f>
        <v/>
      </c>
      <c r="E193">
        <f>AVERAGE(B144:B193)</f>
        <v/>
      </c>
      <c r="F193" t="inlineStr"/>
      <c r="G193">
        <f>AVERAGE(B174:B193)-2*STDEV.P(B174:B193)</f>
        <v/>
      </c>
      <c r="H193">
        <f>MAX(B193-B192,0)</f>
        <v/>
      </c>
      <c r="I193">
        <f>MAX(B192-B193,0)</f>
        <v/>
      </c>
      <c r="J193">
        <f>(J192*13+H193)/14</f>
        <v/>
      </c>
      <c r="K193">
        <f>(K192*13+I193)/14</f>
        <v/>
      </c>
      <c r="L193">
        <f>IF(K193=0,100,100-100/(1+J193/K193))</f>
        <v/>
      </c>
      <c r="M193">
        <f>IF(MAX(C180:C193)=MIN(D180:D193),50,100*(B193-MIN(D180:D193))/(MAX(C180:C193)-MIN(D180:D193)))</f>
        <v/>
      </c>
      <c r="N193">
        <f>AVERAGE(M191:M193)</f>
        <v/>
      </c>
      <c r="O193">
        <f>IF(ISNUMBER(L193),L193&lt;30,FALSE)</f>
        <v/>
      </c>
      <c r="P193">
        <f>IF(ISNUMBER(N193),N193&lt;20,FALSE)</f>
        <v/>
      </c>
      <c r="Q193">
        <f>IF(AND(ISNUMBER(E173),ISNUMBER(E193)),AND(E193&gt;E173,B193&lt;=E193*1.01,B192&gt;E192*1.01),FALSE)</f>
        <v/>
      </c>
      <c r="R193">
        <f>FALSE</f>
        <v/>
      </c>
      <c r="S193">
        <f>IF(ISNUMBER(G193),B193&lt;G193,FALSE)</f>
        <v/>
      </c>
      <c r="T193">
        <f>OR(O193,P193,Q193,R193,S193)</f>
        <v/>
      </c>
    </row>
    <row r="194">
      <c r="A194">
        <f>IF(Prices!A194="","",Prices!A194)</f>
        <v/>
      </c>
      <c r="B194">
        <f>IF(Prices!E194="","",Prices!E194)</f>
        <v/>
      </c>
      <c r="C194">
        <f>IF(Prices!C194="","",Prices!C194)</f>
        <v/>
      </c>
      <c r="D194">
        <f>IF(Prices!D194="","",Prices!D194)</f>
        <v/>
      </c>
      <c r="E194">
        <f>AVERAGE(B145:B194)</f>
        <v/>
      </c>
      <c r="F194" t="inlineStr"/>
      <c r="G194">
        <f>AVERAGE(B175:B194)-2*STDEV.P(B175:B194)</f>
        <v/>
      </c>
      <c r="H194">
        <f>MAX(B194-B193,0)</f>
        <v/>
      </c>
      <c r="I194">
        <f>MAX(B193-B194,0)</f>
        <v/>
      </c>
      <c r="J194">
        <f>(J193*13+H194)/14</f>
        <v/>
      </c>
      <c r="K194">
        <f>(K193*13+I194)/14</f>
        <v/>
      </c>
      <c r="L194">
        <f>IF(K194=0,100,100-100/(1+J194/K194))</f>
        <v/>
      </c>
      <c r="M194">
        <f>IF(MAX(C181:C194)=MIN(D181:D194),50,100*(B194-MIN(D181:D194))/(MAX(C181:C194)-MIN(D181:D194)))</f>
        <v/>
      </c>
      <c r="N194">
        <f>AVERAGE(M192:M194)</f>
        <v/>
      </c>
      <c r="O194">
        <f>IF(ISNUMBER(L194),L194&lt;30,FALSE)</f>
        <v/>
      </c>
      <c r="P194">
        <f>IF(ISNUMBER(N194),N194&lt;20,FALSE)</f>
        <v/>
      </c>
      <c r="Q194">
        <f>IF(AND(ISNUMBER(E174),ISNUMBER(E194)),AND(E194&gt;E174,B194&lt;=E194*1.01,B193&gt;E193*1.01),FALSE)</f>
        <v/>
      </c>
      <c r="R194">
        <f>FALSE</f>
        <v/>
      </c>
      <c r="S194">
        <f>IF(ISNUMBER(G194),B194&lt;G194,FALSE)</f>
        <v/>
      </c>
      <c r="T194">
        <f>OR(O194,P194,Q194,R194,S194)</f>
        <v/>
      </c>
    </row>
    <row r="195">
      <c r="A195">
        <f>IF(Prices!A195="","",Prices!A195)</f>
        <v/>
      </c>
      <c r="B195">
        <f>IF(Prices!E195="","",Prices!E195)</f>
        <v/>
      </c>
      <c r="C195">
        <f>IF(Prices!C195="","",Prices!C195)</f>
        <v/>
      </c>
      <c r="D195">
        <f>IF(Prices!D195="","",Prices!D195)</f>
        <v/>
      </c>
      <c r="E195">
        <f>AVERAGE(B146:B195)</f>
        <v/>
      </c>
      <c r="F195" t="inlineStr"/>
      <c r="G195">
        <f>AVERAGE(B176:B195)-2*STDEV.P(B176:B195)</f>
        <v/>
      </c>
      <c r="H195">
        <f>MAX(B195-B194,0)</f>
        <v/>
      </c>
      <c r="I195">
        <f>MAX(B194-B195,0)</f>
        <v/>
      </c>
      <c r="J195">
        <f>(J194*13+H195)/14</f>
        <v/>
      </c>
      <c r="K195">
        <f>(K194*13+I195)/14</f>
        <v/>
      </c>
      <c r="L195">
        <f>IF(K195=0,100,100-100/(1+J195/K195))</f>
        <v/>
      </c>
      <c r="M195">
        <f>IF(MAX(C182:C195)=MIN(D182:D195),50,100*(B195-MIN(D182:D195))/(MAX(C182:C195)-MIN(D182:D195)))</f>
        <v/>
      </c>
      <c r="N195">
        <f>AVERAGE(M193:M195)</f>
        <v/>
      </c>
      <c r="O195">
        <f>IF(ISNUMBER(L195),L195&lt;30,FALSE)</f>
        <v/>
      </c>
      <c r="P195">
        <f>IF(ISNUMBER(N195),N195&lt;20,FALSE)</f>
        <v/>
      </c>
      <c r="Q195">
        <f>IF(AND(ISNUMBER(E175),ISNUMBER(E195)),AND(E195&gt;E175,B195&lt;=E195*1.01,B194&gt;E194*1.01),FALSE)</f>
        <v/>
      </c>
      <c r="R195">
        <f>FALSE</f>
        <v/>
      </c>
      <c r="S195">
        <f>IF(ISNUMBER(G195),B195&lt;G195,FALSE)</f>
        <v/>
      </c>
      <c r="T195">
        <f>OR(O195,P195,Q195,R195,S195)</f>
        <v/>
      </c>
    </row>
    <row r="196">
      <c r="A196">
        <f>IF(Prices!A196="","",Prices!A196)</f>
        <v/>
      </c>
      <c r="B196">
        <f>IF(Prices!E196="","",Prices!E196)</f>
        <v/>
      </c>
      <c r="C196">
        <f>IF(Prices!C196="","",Prices!C196)</f>
        <v/>
      </c>
      <c r="D196">
        <f>IF(Prices!D196="","",Prices!D196)</f>
        <v/>
      </c>
      <c r="E196">
        <f>AVERAGE(B147:B196)</f>
        <v/>
      </c>
      <c r="F196" t="inlineStr"/>
      <c r="G196">
        <f>AVERAGE(B177:B196)-2*STDEV.P(B177:B196)</f>
        <v/>
      </c>
      <c r="H196">
        <f>MAX(B196-B195,0)</f>
        <v/>
      </c>
      <c r="I196">
        <f>MAX(B195-B196,0)</f>
        <v/>
      </c>
      <c r="J196">
        <f>(J195*13+H196)/14</f>
        <v/>
      </c>
      <c r="K196">
        <f>(K195*13+I196)/14</f>
        <v/>
      </c>
      <c r="L196">
        <f>IF(K196=0,100,100-100/(1+J196/K196))</f>
        <v/>
      </c>
      <c r="M196">
        <f>IF(MAX(C183:C196)=MIN(D183:D196),50,100*(B196-MIN(D183:D196))/(MAX(C183:C196)-MIN(D183:D196)))</f>
        <v/>
      </c>
      <c r="N196">
        <f>AVERAGE(M194:M196)</f>
        <v/>
      </c>
      <c r="O196">
        <f>IF(ISNUMBER(L196),L196&lt;30,FALSE)</f>
        <v/>
      </c>
      <c r="P196">
        <f>IF(ISNUMBER(N196),N196&lt;20,FALSE)</f>
        <v/>
      </c>
      <c r="Q196">
        <f>IF(AND(ISNUMBER(E176),ISNUMBER(E196)),AND(E196&gt;E176,B196&lt;=E196*1.01,B195&gt;E195*1.01),FALSE)</f>
        <v/>
      </c>
      <c r="R196">
        <f>FALSE</f>
        <v/>
      </c>
      <c r="S196">
        <f>IF(ISNUMBER(G196),B196&lt;G196,FALSE)</f>
        <v/>
      </c>
      <c r="T196">
        <f>OR(O196,P196,Q196,R196,S196)</f>
        <v/>
      </c>
    </row>
    <row r="197">
      <c r="A197">
        <f>IF(Prices!A197="","",Prices!A197)</f>
        <v/>
      </c>
      <c r="B197">
        <f>IF(Prices!E197="","",Prices!E197)</f>
        <v/>
      </c>
      <c r="C197">
        <f>IF(Prices!C197="","",Prices!C197)</f>
        <v/>
      </c>
      <c r="D197">
        <f>IF(Prices!D197="","",Prices!D197)</f>
        <v/>
      </c>
      <c r="E197">
        <f>AVERAGE(B148:B197)</f>
        <v/>
      </c>
      <c r="F197" t="inlineStr"/>
      <c r="G197">
        <f>AVERAGE(B178:B197)-2*STDEV.P(B178:B197)</f>
        <v/>
      </c>
      <c r="H197">
        <f>MAX(B197-B196,0)</f>
        <v/>
      </c>
      <c r="I197">
        <f>MAX(B196-B197,0)</f>
        <v/>
      </c>
      <c r="J197">
        <f>(J196*13+H197)/14</f>
        <v/>
      </c>
      <c r="K197">
        <f>(K196*13+I197)/14</f>
        <v/>
      </c>
      <c r="L197">
        <f>IF(K197=0,100,100-100/(1+J197/K197))</f>
        <v/>
      </c>
      <c r="M197">
        <f>IF(MAX(C184:C197)=MIN(D184:D197),50,100*(B197-MIN(D184:D197))/(MAX(C184:C197)-MIN(D184:D197)))</f>
        <v/>
      </c>
      <c r="N197">
        <f>AVERAGE(M195:M197)</f>
        <v/>
      </c>
      <c r="O197">
        <f>IF(ISNUMBER(L197),L197&lt;30,FALSE)</f>
        <v/>
      </c>
      <c r="P197">
        <f>IF(ISNUMBER(N197),N197&lt;20,FALSE)</f>
        <v/>
      </c>
      <c r="Q197">
        <f>IF(AND(ISNUMBER(E177),ISNUMBER(E197)),AND(E197&gt;E177,B197&lt;=E197*1.01,B196&gt;E196*1.01),FALSE)</f>
        <v/>
      </c>
      <c r="R197">
        <f>FALSE</f>
        <v/>
      </c>
      <c r="S197">
        <f>IF(ISNUMBER(G197),B197&lt;G197,FALSE)</f>
        <v/>
      </c>
      <c r="T197">
        <f>OR(O197,P197,Q197,R197,S197)</f>
        <v/>
      </c>
    </row>
    <row r="198">
      <c r="A198">
        <f>IF(Prices!A198="","",Prices!A198)</f>
        <v/>
      </c>
      <c r="B198">
        <f>IF(Prices!E198="","",Prices!E198)</f>
        <v/>
      </c>
      <c r="C198">
        <f>IF(Prices!C198="","",Prices!C198)</f>
        <v/>
      </c>
      <c r="D198">
        <f>IF(Prices!D198="","",Prices!D198)</f>
        <v/>
      </c>
      <c r="E198">
        <f>AVERAGE(B149:B198)</f>
        <v/>
      </c>
      <c r="F198" t="inlineStr"/>
      <c r="G198">
        <f>AVERAGE(B179:B198)-2*STDEV.P(B179:B198)</f>
        <v/>
      </c>
      <c r="H198">
        <f>MAX(B198-B197,0)</f>
        <v/>
      </c>
      <c r="I198">
        <f>MAX(B197-B198,0)</f>
        <v/>
      </c>
      <c r="J198">
        <f>(J197*13+H198)/14</f>
        <v/>
      </c>
      <c r="K198">
        <f>(K197*13+I198)/14</f>
        <v/>
      </c>
      <c r="L198">
        <f>IF(K198=0,100,100-100/(1+J198/K198))</f>
        <v/>
      </c>
      <c r="M198">
        <f>IF(MAX(C185:C198)=MIN(D185:D198),50,100*(B198-MIN(D185:D198))/(MAX(C185:C198)-MIN(D185:D198)))</f>
        <v/>
      </c>
      <c r="N198">
        <f>AVERAGE(M196:M198)</f>
        <v/>
      </c>
      <c r="O198">
        <f>IF(ISNUMBER(L198),L198&lt;30,FALSE)</f>
        <v/>
      </c>
      <c r="P198">
        <f>IF(ISNUMBER(N198),N198&lt;20,FALSE)</f>
        <v/>
      </c>
      <c r="Q198">
        <f>IF(AND(ISNUMBER(E178),ISNUMBER(E198)),AND(E198&gt;E178,B198&lt;=E198*1.01,B197&gt;E197*1.01),FALSE)</f>
        <v/>
      </c>
      <c r="R198">
        <f>FALSE</f>
        <v/>
      </c>
      <c r="S198">
        <f>IF(ISNUMBER(G198),B198&lt;G198,FALSE)</f>
        <v/>
      </c>
      <c r="T198">
        <f>OR(O198,P198,Q198,R198,S198)</f>
        <v/>
      </c>
    </row>
    <row r="199">
      <c r="A199">
        <f>IF(Prices!A199="","",Prices!A199)</f>
        <v/>
      </c>
      <c r="B199">
        <f>IF(Prices!E199="","",Prices!E199)</f>
        <v/>
      </c>
      <c r="C199">
        <f>IF(Prices!C199="","",Prices!C199)</f>
        <v/>
      </c>
      <c r="D199">
        <f>IF(Prices!D199="","",Prices!D199)</f>
        <v/>
      </c>
      <c r="E199">
        <f>AVERAGE(B150:B199)</f>
        <v/>
      </c>
      <c r="F199" t="inlineStr"/>
      <c r="G199">
        <f>AVERAGE(B180:B199)-2*STDEV.P(B180:B199)</f>
        <v/>
      </c>
      <c r="H199">
        <f>MAX(B199-B198,0)</f>
        <v/>
      </c>
      <c r="I199">
        <f>MAX(B198-B199,0)</f>
        <v/>
      </c>
      <c r="J199">
        <f>(J198*13+H199)/14</f>
        <v/>
      </c>
      <c r="K199">
        <f>(K198*13+I199)/14</f>
        <v/>
      </c>
      <c r="L199">
        <f>IF(K199=0,100,100-100/(1+J199/K199))</f>
        <v/>
      </c>
      <c r="M199">
        <f>IF(MAX(C186:C199)=MIN(D186:D199),50,100*(B199-MIN(D186:D199))/(MAX(C186:C199)-MIN(D186:D199)))</f>
        <v/>
      </c>
      <c r="N199">
        <f>AVERAGE(M197:M199)</f>
        <v/>
      </c>
      <c r="O199">
        <f>IF(ISNUMBER(L199),L199&lt;30,FALSE)</f>
        <v/>
      </c>
      <c r="P199">
        <f>IF(ISNUMBER(N199),N199&lt;20,FALSE)</f>
        <v/>
      </c>
      <c r="Q199">
        <f>IF(AND(ISNUMBER(E179),ISNUMBER(E199)),AND(E199&gt;E179,B199&lt;=E199*1.01,B198&gt;E198*1.01),FALSE)</f>
        <v/>
      </c>
      <c r="R199">
        <f>FALSE</f>
        <v/>
      </c>
      <c r="S199">
        <f>IF(ISNUMBER(G199),B199&lt;G199,FALSE)</f>
        <v/>
      </c>
      <c r="T199">
        <f>OR(O199,P199,Q199,R199,S199)</f>
        <v/>
      </c>
    </row>
    <row r="200">
      <c r="A200">
        <f>IF(Prices!A200="","",Prices!A200)</f>
        <v/>
      </c>
      <c r="B200">
        <f>IF(Prices!E200="","",Prices!E200)</f>
        <v/>
      </c>
      <c r="C200">
        <f>IF(Prices!C200="","",Prices!C200)</f>
        <v/>
      </c>
      <c r="D200">
        <f>IF(Prices!D200="","",Prices!D200)</f>
        <v/>
      </c>
      <c r="E200">
        <f>AVERAGE(B151:B200)</f>
        <v/>
      </c>
      <c r="F200" t="inlineStr"/>
      <c r="G200">
        <f>AVERAGE(B181:B200)-2*STDEV.P(B181:B200)</f>
        <v/>
      </c>
      <c r="H200">
        <f>MAX(B200-B199,0)</f>
        <v/>
      </c>
      <c r="I200">
        <f>MAX(B199-B200,0)</f>
        <v/>
      </c>
      <c r="J200">
        <f>(J199*13+H200)/14</f>
        <v/>
      </c>
      <c r="K200">
        <f>(K199*13+I200)/14</f>
        <v/>
      </c>
      <c r="L200">
        <f>IF(K200=0,100,100-100/(1+J200/K200))</f>
        <v/>
      </c>
      <c r="M200">
        <f>IF(MAX(C187:C200)=MIN(D187:D200),50,100*(B200-MIN(D187:D200))/(MAX(C187:C200)-MIN(D187:D200)))</f>
        <v/>
      </c>
      <c r="N200">
        <f>AVERAGE(M198:M200)</f>
        <v/>
      </c>
      <c r="O200">
        <f>IF(ISNUMBER(L200),L200&lt;30,FALSE)</f>
        <v/>
      </c>
      <c r="P200">
        <f>IF(ISNUMBER(N200),N200&lt;20,FALSE)</f>
        <v/>
      </c>
      <c r="Q200">
        <f>IF(AND(ISNUMBER(E180),ISNUMBER(E200)),AND(E200&gt;E180,B200&lt;=E200*1.01,B199&gt;E199*1.01),FALSE)</f>
        <v/>
      </c>
      <c r="R200">
        <f>FALSE</f>
        <v/>
      </c>
      <c r="S200">
        <f>IF(ISNUMBER(G200),B200&lt;G200,FALSE)</f>
        <v/>
      </c>
      <c r="T200">
        <f>OR(O200,P200,Q200,R200,S200)</f>
        <v/>
      </c>
    </row>
    <row r="201">
      <c r="A201">
        <f>IF(Prices!A201="","",Prices!A201)</f>
        <v/>
      </c>
      <c r="B201">
        <f>IF(Prices!E201="","",Prices!E201)</f>
        <v/>
      </c>
      <c r="C201">
        <f>IF(Prices!C201="","",Prices!C201)</f>
        <v/>
      </c>
      <c r="D201">
        <f>IF(Prices!D201="","",Prices!D201)</f>
        <v/>
      </c>
      <c r="E201">
        <f>AVERAGE(B152:B201)</f>
        <v/>
      </c>
      <c r="F201">
        <f>AVERAGE(B2:B201)</f>
        <v/>
      </c>
      <c r="G201">
        <f>AVERAGE(B182:B201)-2*STDEV.P(B182:B201)</f>
        <v/>
      </c>
      <c r="H201">
        <f>MAX(B201-B200,0)</f>
        <v/>
      </c>
      <c r="I201">
        <f>MAX(B200-B201,0)</f>
        <v/>
      </c>
      <c r="J201">
        <f>(J200*13+H201)/14</f>
        <v/>
      </c>
      <c r="K201">
        <f>(K200*13+I201)/14</f>
        <v/>
      </c>
      <c r="L201">
        <f>IF(K201=0,100,100-100/(1+J201/K201))</f>
        <v/>
      </c>
      <c r="M201">
        <f>IF(MAX(C188:C201)=MIN(D188:D201),50,100*(B201-MIN(D188:D201))/(MAX(C188:C201)-MIN(D188:D201)))</f>
        <v/>
      </c>
      <c r="N201">
        <f>AVERAGE(M199:M201)</f>
        <v/>
      </c>
      <c r="O201">
        <f>IF(ISNUMBER(L201),L201&lt;30,FALSE)</f>
        <v/>
      </c>
      <c r="P201">
        <f>IF(ISNUMBER(N201),N201&lt;20,FALSE)</f>
        <v/>
      </c>
      <c r="Q201">
        <f>IF(AND(ISNUMBER(E181),ISNUMBER(E201)),AND(E201&gt;E181,B201&lt;=E201*1.01,B200&gt;E200*1.01),FALSE)</f>
        <v/>
      </c>
      <c r="R201">
        <f>FALSE</f>
        <v/>
      </c>
      <c r="S201">
        <f>IF(ISNUMBER(G201),B201&lt;G201,FALSE)</f>
        <v/>
      </c>
      <c r="T201">
        <f>OR(O201,P201,Q201,R201,S201)</f>
        <v/>
      </c>
    </row>
    <row r="202">
      <c r="A202">
        <f>IF(Prices!A202="","",Prices!A202)</f>
        <v/>
      </c>
      <c r="B202">
        <f>IF(Prices!E202="","",Prices!E202)</f>
        <v/>
      </c>
      <c r="C202">
        <f>IF(Prices!C202="","",Prices!C202)</f>
        <v/>
      </c>
      <c r="D202">
        <f>IF(Prices!D202="","",Prices!D202)</f>
        <v/>
      </c>
      <c r="E202">
        <f>AVERAGE(B153:B202)</f>
        <v/>
      </c>
      <c r="F202">
        <f>AVERAGE(B3:B202)</f>
        <v/>
      </c>
      <c r="G202">
        <f>AVERAGE(B183:B202)-2*STDEV.P(B183:B202)</f>
        <v/>
      </c>
      <c r="H202">
        <f>MAX(B202-B201,0)</f>
        <v/>
      </c>
      <c r="I202">
        <f>MAX(B201-B202,0)</f>
        <v/>
      </c>
      <c r="J202">
        <f>(J201*13+H202)/14</f>
        <v/>
      </c>
      <c r="K202">
        <f>(K201*13+I202)/14</f>
        <v/>
      </c>
      <c r="L202">
        <f>IF(K202=0,100,100-100/(1+J202/K202))</f>
        <v/>
      </c>
      <c r="M202">
        <f>IF(MAX(C189:C202)=MIN(D189:D202),50,100*(B202-MIN(D189:D202))/(MAX(C189:C202)-MIN(D189:D202)))</f>
        <v/>
      </c>
      <c r="N202">
        <f>AVERAGE(M200:M202)</f>
        <v/>
      </c>
      <c r="O202">
        <f>IF(ISNUMBER(L202),L202&lt;30,FALSE)</f>
        <v/>
      </c>
      <c r="P202">
        <f>IF(ISNUMBER(N202),N202&lt;20,FALSE)</f>
        <v/>
      </c>
      <c r="Q202">
        <f>IF(AND(ISNUMBER(E182),ISNUMBER(E202)),AND(E202&gt;E182,B202&lt;=E202*1.01,B201&gt;E201*1.01),FALSE)</f>
        <v/>
      </c>
      <c r="R202">
        <f>FALSE</f>
        <v/>
      </c>
      <c r="S202">
        <f>IF(ISNUMBER(G202),B202&lt;G202,FALSE)</f>
        <v/>
      </c>
      <c r="T202">
        <f>OR(O202,P202,Q202,R202,S202)</f>
        <v/>
      </c>
    </row>
    <row r="203">
      <c r="A203">
        <f>IF(Prices!A203="","",Prices!A203)</f>
        <v/>
      </c>
      <c r="B203">
        <f>IF(Prices!E203="","",Prices!E203)</f>
        <v/>
      </c>
      <c r="C203">
        <f>IF(Prices!C203="","",Prices!C203)</f>
        <v/>
      </c>
      <c r="D203">
        <f>IF(Prices!D203="","",Prices!D203)</f>
        <v/>
      </c>
      <c r="E203">
        <f>AVERAGE(B154:B203)</f>
        <v/>
      </c>
      <c r="F203">
        <f>AVERAGE(B4:B203)</f>
        <v/>
      </c>
      <c r="G203">
        <f>AVERAGE(B184:B203)-2*STDEV.P(B184:B203)</f>
        <v/>
      </c>
      <c r="H203">
        <f>MAX(B203-B202,0)</f>
        <v/>
      </c>
      <c r="I203">
        <f>MAX(B202-B203,0)</f>
        <v/>
      </c>
      <c r="J203">
        <f>(J202*13+H203)/14</f>
        <v/>
      </c>
      <c r="K203">
        <f>(K202*13+I203)/14</f>
        <v/>
      </c>
      <c r="L203">
        <f>IF(K203=0,100,100-100/(1+J203/K203))</f>
        <v/>
      </c>
      <c r="M203">
        <f>IF(MAX(C190:C203)=MIN(D190:D203),50,100*(B203-MIN(D190:D203))/(MAX(C190:C203)-MIN(D190:D203)))</f>
        <v/>
      </c>
      <c r="N203">
        <f>AVERAGE(M201:M203)</f>
        <v/>
      </c>
      <c r="O203">
        <f>IF(ISNUMBER(L203),L203&lt;30,FALSE)</f>
        <v/>
      </c>
      <c r="P203">
        <f>IF(ISNUMBER(N203),N203&lt;20,FALSE)</f>
        <v/>
      </c>
      <c r="Q203">
        <f>IF(AND(ISNUMBER(E183),ISNUMBER(E203)),AND(E203&gt;E183,B203&lt;=E203*1.01,B202&gt;E202*1.01),FALSE)</f>
        <v/>
      </c>
      <c r="R203">
        <f>FALSE</f>
        <v/>
      </c>
      <c r="S203">
        <f>IF(ISNUMBER(G203),B203&lt;G203,FALSE)</f>
        <v/>
      </c>
      <c r="T203">
        <f>OR(O203,P203,Q203,R203,S203)</f>
        <v/>
      </c>
    </row>
    <row r="204">
      <c r="A204">
        <f>IF(Prices!A204="","",Prices!A204)</f>
        <v/>
      </c>
      <c r="B204">
        <f>IF(Prices!E204="","",Prices!E204)</f>
        <v/>
      </c>
      <c r="C204">
        <f>IF(Prices!C204="","",Prices!C204)</f>
        <v/>
      </c>
      <c r="D204">
        <f>IF(Prices!D204="","",Prices!D204)</f>
        <v/>
      </c>
      <c r="E204">
        <f>AVERAGE(B155:B204)</f>
        <v/>
      </c>
      <c r="F204">
        <f>AVERAGE(B5:B204)</f>
        <v/>
      </c>
      <c r="G204">
        <f>AVERAGE(B185:B204)-2*STDEV.P(B185:B204)</f>
        <v/>
      </c>
      <c r="H204">
        <f>MAX(B204-B203,0)</f>
        <v/>
      </c>
      <c r="I204">
        <f>MAX(B203-B204,0)</f>
        <v/>
      </c>
      <c r="J204">
        <f>(J203*13+H204)/14</f>
        <v/>
      </c>
      <c r="K204">
        <f>(K203*13+I204)/14</f>
        <v/>
      </c>
      <c r="L204">
        <f>IF(K204=0,100,100-100/(1+J204/K204))</f>
        <v/>
      </c>
      <c r="M204">
        <f>IF(MAX(C191:C204)=MIN(D191:D204),50,100*(B204-MIN(D191:D204))/(MAX(C191:C204)-MIN(D191:D204)))</f>
        <v/>
      </c>
      <c r="N204">
        <f>AVERAGE(M202:M204)</f>
        <v/>
      </c>
      <c r="O204">
        <f>IF(ISNUMBER(L204),L204&lt;30,FALSE)</f>
        <v/>
      </c>
      <c r="P204">
        <f>IF(ISNUMBER(N204),N204&lt;20,FALSE)</f>
        <v/>
      </c>
      <c r="Q204">
        <f>IF(AND(ISNUMBER(E184),ISNUMBER(E204)),AND(E204&gt;E184,B204&lt;=E204*1.01,B203&gt;E203*1.01),FALSE)</f>
        <v/>
      </c>
      <c r="R204">
        <f>FALSE</f>
        <v/>
      </c>
      <c r="S204">
        <f>IF(ISNUMBER(G204),B204&lt;G204,FALSE)</f>
        <v/>
      </c>
      <c r="T204">
        <f>OR(O204,P204,Q204,R204,S204)</f>
        <v/>
      </c>
    </row>
    <row r="205">
      <c r="A205">
        <f>IF(Prices!A205="","",Prices!A205)</f>
        <v/>
      </c>
      <c r="B205">
        <f>IF(Prices!E205="","",Prices!E205)</f>
        <v/>
      </c>
      <c r="C205">
        <f>IF(Prices!C205="","",Prices!C205)</f>
        <v/>
      </c>
      <c r="D205">
        <f>IF(Prices!D205="","",Prices!D205)</f>
        <v/>
      </c>
      <c r="E205">
        <f>AVERAGE(B156:B205)</f>
        <v/>
      </c>
      <c r="F205">
        <f>AVERAGE(B6:B205)</f>
        <v/>
      </c>
      <c r="G205">
        <f>AVERAGE(B186:B205)-2*STDEV.P(B186:B205)</f>
        <v/>
      </c>
      <c r="H205">
        <f>MAX(B205-B204,0)</f>
        <v/>
      </c>
      <c r="I205">
        <f>MAX(B204-B205,0)</f>
        <v/>
      </c>
      <c r="J205">
        <f>(J204*13+H205)/14</f>
        <v/>
      </c>
      <c r="K205">
        <f>(K204*13+I205)/14</f>
        <v/>
      </c>
      <c r="L205">
        <f>IF(K205=0,100,100-100/(1+J205/K205))</f>
        <v/>
      </c>
      <c r="M205">
        <f>IF(MAX(C192:C205)=MIN(D192:D205),50,100*(B205-MIN(D192:D205))/(MAX(C192:C205)-MIN(D192:D205)))</f>
        <v/>
      </c>
      <c r="N205">
        <f>AVERAGE(M203:M205)</f>
        <v/>
      </c>
      <c r="O205">
        <f>IF(ISNUMBER(L205),L205&lt;30,FALSE)</f>
        <v/>
      </c>
      <c r="P205">
        <f>IF(ISNUMBER(N205),N205&lt;20,FALSE)</f>
        <v/>
      </c>
      <c r="Q205">
        <f>IF(AND(ISNUMBER(E185),ISNUMBER(E205)),AND(E205&gt;E185,B205&lt;=E205*1.01,B204&gt;E204*1.01),FALSE)</f>
        <v/>
      </c>
      <c r="R205">
        <f>FALSE</f>
        <v/>
      </c>
      <c r="S205">
        <f>IF(ISNUMBER(G205),B205&lt;G205,FALSE)</f>
        <v/>
      </c>
      <c r="T205">
        <f>OR(O205,P205,Q205,R205,S205)</f>
        <v/>
      </c>
    </row>
    <row r="206">
      <c r="A206">
        <f>IF(Prices!A206="","",Prices!A206)</f>
        <v/>
      </c>
      <c r="B206">
        <f>IF(Prices!E206="","",Prices!E206)</f>
        <v/>
      </c>
      <c r="C206">
        <f>IF(Prices!C206="","",Prices!C206)</f>
        <v/>
      </c>
      <c r="D206">
        <f>IF(Prices!D206="","",Prices!D206)</f>
        <v/>
      </c>
      <c r="E206">
        <f>AVERAGE(B157:B206)</f>
        <v/>
      </c>
      <c r="F206">
        <f>AVERAGE(B7:B206)</f>
        <v/>
      </c>
      <c r="G206">
        <f>AVERAGE(B187:B206)-2*STDEV.P(B187:B206)</f>
        <v/>
      </c>
      <c r="H206">
        <f>MAX(B206-B205,0)</f>
        <v/>
      </c>
      <c r="I206">
        <f>MAX(B205-B206,0)</f>
        <v/>
      </c>
      <c r="J206">
        <f>(J205*13+H206)/14</f>
        <v/>
      </c>
      <c r="K206">
        <f>(K205*13+I206)/14</f>
        <v/>
      </c>
      <c r="L206">
        <f>IF(K206=0,100,100-100/(1+J206/K206))</f>
        <v/>
      </c>
      <c r="M206">
        <f>IF(MAX(C193:C206)=MIN(D193:D206),50,100*(B206-MIN(D193:D206))/(MAX(C193:C206)-MIN(D193:D206)))</f>
        <v/>
      </c>
      <c r="N206">
        <f>AVERAGE(M204:M206)</f>
        <v/>
      </c>
      <c r="O206">
        <f>IF(ISNUMBER(L206),L206&lt;30,FALSE)</f>
        <v/>
      </c>
      <c r="P206">
        <f>IF(ISNUMBER(N206),N206&lt;20,FALSE)</f>
        <v/>
      </c>
      <c r="Q206">
        <f>IF(AND(ISNUMBER(E186),ISNUMBER(E206)),AND(E206&gt;E186,B206&lt;=E206*1.01,B205&gt;E205*1.01),FALSE)</f>
        <v/>
      </c>
      <c r="R206">
        <f>FALSE</f>
        <v/>
      </c>
      <c r="S206">
        <f>IF(ISNUMBER(G206),B206&lt;G206,FALSE)</f>
        <v/>
      </c>
      <c r="T206">
        <f>OR(O206,P206,Q206,R206,S206)</f>
        <v/>
      </c>
    </row>
    <row r="207">
      <c r="A207">
        <f>IF(Prices!A207="","",Prices!A207)</f>
        <v/>
      </c>
      <c r="B207">
        <f>IF(Prices!E207="","",Prices!E207)</f>
        <v/>
      </c>
      <c r="C207">
        <f>IF(Prices!C207="","",Prices!C207)</f>
        <v/>
      </c>
      <c r="D207">
        <f>IF(Prices!D207="","",Prices!D207)</f>
        <v/>
      </c>
      <c r="E207">
        <f>AVERAGE(B158:B207)</f>
        <v/>
      </c>
      <c r="F207">
        <f>AVERAGE(B8:B207)</f>
        <v/>
      </c>
      <c r="G207">
        <f>AVERAGE(B188:B207)-2*STDEV.P(B188:B207)</f>
        <v/>
      </c>
      <c r="H207">
        <f>MAX(B207-B206,0)</f>
        <v/>
      </c>
      <c r="I207">
        <f>MAX(B206-B207,0)</f>
        <v/>
      </c>
      <c r="J207">
        <f>(J206*13+H207)/14</f>
        <v/>
      </c>
      <c r="K207">
        <f>(K206*13+I207)/14</f>
        <v/>
      </c>
      <c r="L207">
        <f>IF(K207=0,100,100-100/(1+J207/K207))</f>
        <v/>
      </c>
      <c r="M207">
        <f>IF(MAX(C194:C207)=MIN(D194:D207),50,100*(B207-MIN(D194:D207))/(MAX(C194:C207)-MIN(D194:D207)))</f>
        <v/>
      </c>
      <c r="N207">
        <f>AVERAGE(M205:M207)</f>
        <v/>
      </c>
      <c r="O207">
        <f>IF(ISNUMBER(L207),L207&lt;30,FALSE)</f>
        <v/>
      </c>
      <c r="P207">
        <f>IF(ISNUMBER(N207),N207&lt;20,FALSE)</f>
        <v/>
      </c>
      <c r="Q207">
        <f>IF(AND(ISNUMBER(E187),ISNUMBER(E207)),AND(E207&gt;E187,B207&lt;=E207*1.01,B206&gt;E206*1.01),FALSE)</f>
        <v/>
      </c>
      <c r="R207">
        <f>FALSE</f>
        <v/>
      </c>
      <c r="S207">
        <f>IF(ISNUMBER(G207),B207&lt;G207,FALSE)</f>
        <v/>
      </c>
      <c r="T207">
        <f>OR(O207,P207,Q207,R207,S207)</f>
        <v/>
      </c>
    </row>
    <row r="208">
      <c r="A208">
        <f>IF(Prices!A208="","",Prices!A208)</f>
        <v/>
      </c>
      <c r="B208">
        <f>IF(Prices!E208="","",Prices!E208)</f>
        <v/>
      </c>
      <c r="C208">
        <f>IF(Prices!C208="","",Prices!C208)</f>
        <v/>
      </c>
      <c r="D208">
        <f>IF(Prices!D208="","",Prices!D208)</f>
        <v/>
      </c>
      <c r="E208">
        <f>AVERAGE(B159:B208)</f>
        <v/>
      </c>
      <c r="F208">
        <f>AVERAGE(B9:B208)</f>
        <v/>
      </c>
      <c r="G208">
        <f>AVERAGE(B189:B208)-2*STDEV.P(B189:B208)</f>
        <v/>
      </c>
      <c r="H208">
        <f>MAX(B208-B207,0)</f>
        <v/>
      </c>
      <c r="I208">
        <f>MAX(B207-B208,0)</f>
        <v/>
      </c>
      <c r="J208">
        <f>(J207*13+H208)/14</f>
        <v/>
      </c>
      <c r="K208">
        <f>(K207*13+I208)/14</f>
        <v/>
      </c>
      <c r="L208">
        <f>IF(K208=0,100,100-100/(1+J208/K208))</f>
        <v/>
      </c>
      <c r="M208">
        <f>IF(MAX(C195:C208)=MIN(D195:D208),50,100*(B208-MIN(D195:D208))/(MAX(C195:C208)-MIN(D195:D208)))</f>
        <v/>
      </c>
      <c r="N208">
        <f>AVERAGE(M206:M208)</f>
        <v/>
      </c>
      <c r="O208">
        <f>IF(ISNUMBER(L208),L208&lt;30,FALSE)</f>
        <v/>
      </c>
      <c r="P208">
        <f>IF(ISNUMBER(N208),N208&lt;20,FALSE)</f>
        <v/>
      </c>
      <c r="Q208">
        <f>IF(AND(ISNUMBER(E188),ISNUMBER(E208)),AND(E208&gt;E188,B208&lt;=E208*1.01,B207&gt;E207*1.01),FALSE)</f>
        <v/>
      </c>
      <c r="R208">
        <f>FALSE</f>
        <v/>
      </c>
      <c r="S208">
        <f>IF(ISNUMBER(G208),B208&lt;G208,FALSE)</f>
        <v/>
      </c>
      <c r="T208">
        <f>OR(O208,P208,Q208,R208,S208)</f>
        <v/>
      </c>
    </row>
    <row r="209">
      <c r="A209">
        <f>IF(Prices!A209="","",Prices!A209)</f>
        <v/>
      </c>
      <c r="B209">
        <f>IF(Prices!E209="","",Prices!E209)</f>
        <v/>
      </c>
      <c r="C209">
        <f>IF(Prices!C209="","",Prices!C209)</f>
        <v/>
      </c>
      <c r="D209">
        <f>IF(Prices!D209="","",Prices!D209)</f>
        <v/>
      </c>
      <c r="E209">
        <f>AVERAGE(B160:B209)</f>
        <v/>
      </c>
      <c r="F209">
        <f>AVERAGE(B10:B209)</f>
        <v/>
      </c>
      <c r="G209">
        <f>AVERAGE(B190:B209)-2*STDEV.P(B190:B209)</f>
        <v/>
      </c>
      <c r="H209">
        <f>MAX(B209-B208,0)</f>
        <v/>
      </c>
      <c r="I209">
        <f>MAX(B208-B209,0)</f>
        <v/>
      </c>
      <c r="J209">
        <f>(J208*13+H209)/14</f>
        <v/>
      </c>
      <c r="K209">
        <f>(K208*13+I209)/14</f>
        <v/>
      </c>
      <c r="L209">
        <f>IF(K209=0,100,100-100/(1+J209/K209))</f>
        <v/>
      </c>
      <c r="M209">
        <f>IF(MAX(C196:C209)=MIN(D196:D209),50,100*(B209-MIN(D196:D209))/(MAX(C196:C209)-MIN(D196:D209)))</f>
        <v/>
      </c>
      <c r="N209">
        <f>AVERAGE(M207:M209)</f>
        <v/>
      </c>
      <c r="O209">
        <f>IF(ISNUMBER(L209),L209&lt;30,FALSE)</f>
        <v/>
      </c>
      <c r="P209">
        <f>IF(ISNUMBER(N209),N209&lt;20,FALSE)</f>
        <v/>
      </c>
      <c r="Q209">
        <f>IF(AND(ISNUMBER(E189),ISNUMBER(E209)),AND(E209&gt;E189,B209&lt;=E209*1.01,B208&gt;E208*1.01),FALSE)</f>
        <v/>
      </c>
      <c r="R209">
        <f>FALSE</f>
        <v/>
      </c>
      <c r="S209">
        <f>IF(ISNUMBER(G209),B209&lt;G209,FALSE)</f>
        <v/>
      </c>
      <c r="T209">
        <f>OR(O209,P209,Q209,R209,S209)</f>
        <v/>
      </c>
    </row>
    <row r="210">
      <c r="A210">
        <f>IF(Prices!A210="","",Prices!A210)</f>
        <v/>
      </c>
      <c r="B210">
        <f>IF(Prices!E210="","",Prices!E210)</f>
        <v/>
      </c>
      <c r="C210">
        <f>IF(Prices!C210="","",Prices!C210)</f>
        <v/>
      </c>
      <c r="D210">
        <f>IF(Prices!D210="","",Prices!D210)</f>
        <v/>
      </c>
      <c r="E210">
        <f>AVERAGE(B161:B210)</f>
        <v/>
      </c>
      <c r="F210">
        <f>AVERAGE(B11:B210)</f>
        <v/>
      </c>
      <c r="G210">
        <f>AVERAGE(B191:B210)-2*STDEV.P(B191:B210)</f>
        <v/>
      </c>
      <c r="H210">
        <f>MAX(B210-B209,0)</f>
        <v/>
      </c>
      <c r="I210">
        <f>MAX(B209-B210,0)</f>
        <v/>
      </c>
      <c r="J210">
        <f>(J209*13+H210)/14</f>
        <v/>
      </c>
      <c r="K210">
        <f>(K209*13+I210)/14</f>
        <v/>
      </c>
      <c r="L210">
        <f>IF(K210=0,100,100-100/(1+J210/K210))</f>
        <v/>
      </c>
      <c r="M210">
        <f>IF(MAX(C197:C210)=MIN(D197:D210),50,100*(B210-MIN(D197:D210))/(MAX(C197:C210)-MIN(D197:D210)))</f>
        <v/>
      </c>
      <c r="N210">
        <f>AVERAGE(M208:M210)</f>
        <v/>
      </c>
      <c r="O210">
        <f>IF(ISNUMBER(L210),L210&lt;30,FALSE)</f>
        <v/>
      </c>
      <c r="P210">
        <f>IF(ISNUMBER(N210),N210&lt;20,FALSE)</f>
        <v/>
      </c>
      <c r="Q210">
        <f>IF(AND(ISNUMBER(E190),ISNUMBER(E210)),AND(E210&gt;E190,B210&lt;=E210*1.01,B209&gt;E209*1.01),FALSE)</f>
        <v/>
      </c>
      <c r="R210">
        <f>FALSE</f>
        <v/>
      </c>
      <c r="S210">
        <f>IF(ISNUMBER(G210),B210&lt;G210,FALSE)</f>
        <v/>
      </c>
      <c r="T210">
        <f>OR(O210,P210,Q210,R210,S210)</f>
        <v/>
      </c>
    </row>
    <row r="211">
      <c r="A211">
        <f>IF(Prices!A211="","",Prices!A211)</f>
        <v/>
      </c>
      <c r="B211">
        <f>IF(Prices!E211="","",Prices!E211)</f>
        <v/>
      </c>
      <c r="C211">
        <f>IF(Prices!C211="","",Prices!C211)</f>
        <v/>
      </c>
      <c r="D211">
        <f>IF(Prices!D211="","",Prices!D211)</f>
        <v/>
      </c>
      <c r="E211">
        <f>AVERAGE(B162:B211)</f>
        <v/>
      </c>
      <c r="F211">
        <f>AVERAGE(B12:B211)</f>
        <v/>
      </c>
      <c r="G211">
        <f>AVERAGE(B192:B211)-2*STDEV.P(B192:B211)</f>
        <v/>
      </c>
      <c r="H211">
        <f>MAX(B211-B210,0)</f>
        <v/>
      </c>
      <c r="I211">
        <f>MAX(B210-B211,0)</f>
        <v/>
      </c>
      <c r="J211">
        <f>(J210*13+H211)/14</f>
        <v/>
      </c>
      <c r="K211">
        <f>(K210*13+I211)/14</f>
        <v/>
      </c>
      <c r="L211">
        <f>IF(K211=0,100,100-100/(1+J211/K211))</f>
        <v/>
      </c>
      <c r="M211">
        <f>IF(MAX(C198:C211)=MIN(D198:D211),50,100*(B211-MIN(D198:D211))/(MAX(C198:C211)-MIN(D198:D211)))</f>
        <v/>
      </c>
      <c r="N211">
        <f>AVERAGE(M209:M211)</f>
        <v/>
      </c>
      <c r="O211">
        <f>IF(ISNUMBER(L211),L211&lt;30,FALSE)</f>
        <v/>
      </c>
      <c r="P211">
        <f>IF(ISNUMBER(N211),N211&lt;20,FALSE)</f>
        <v/>
      </c>
      <c r="Q211">
        <f>IF(AND(ISNUMBER(E191),ISNUMBER(E211)),AND(E211&gt;E191,B211&lt;=E211*1.01,B210&gt;E210*1.01),FALSE)</f>
        <v/>
      </c>
      <c r="R211">
        <f>FALSE</f>
        <v/>
      </c>
      <c r="S211">
        <f>IF(ISNUMBER(G211),B211&lt;G211,FALSE)</f>
        <v/>
      </c>
      <c r="T211">
        <f>OR(O211,P211,Q211,R211,S211)</f>
        <v/>
      </c>
    </row>
    <row r="212">
      <c r="A212">
        <f>IF(Prices!A212="","",Prices!A212)</f>
        <v/>
      </c>
      <c r="B212">
        <f>IF(Prices!E212="","",Prices!E212)</f>
        <v/>
      </c>
      <c r="C212">
        <f>IF(Prices!C212="","",Prices!C212)</f>
        <v/>
      </c>
      <c r="D212">
        <f>IF(Prices!D212="","",Prices!D212)</f>
        <v/>
      </c>
      <c r="E212">
        <f>AVERAGE(B163:B212)</f>
        <v/>
      </c>
      <c r="F212">
        <f>AVERAGE(B13:B212)</f>
        <v/>
      </c>
      <c r="G212">
        <f>AVERAGE(B193:B212)-2*STDEV.P(B193:B212)</f>
        <v/>
      </c>
      <c r="H212">
        <f>MAX(B212-B211,0)</f>
        <v/>
      </c>
      <c r="I212">
        <f>MAX(B211-B212,0)</f>
        <v/>
      </c>
      <c r="J212">
        <f>(J211*13+H212)/14</f>
        <v/>
      </c>
      <c r="K212">
        <f>(K211*13+I212)/14</f>
        <v/>
      </c>
      <c r="L212">
        <f>IF(K212=0,100,100-100/(1+J212/K212))</f>
        <v/>
      </c>
      <c r="M212">
        <f>IF(MAX(C199:C212)=MIN(D199:D212),50,100*(B212-MIN(D199:D212))/(MAX(C199:C212)-MIN(D199:D212)))</f>
        <v/>
      </c>
      <c r="N212">
        <f>AVERAGE(M210:M212)</f>
        <v/>
      </c>
      <c r="O212">
        <f>IF(ISNUMBER(L212),L212&lt;30,FALSE)</f>
        <v/>
      </c>
      <c r="P212">
        <f>IF(ISNUMBER(N212),N212&lt;20,FALSE)</f>
        <v/>
      </c>
      <c r="Q212">
        <f>IF(AND(ISNUMBER(E192),ISNUMBER(E212)),AND(E212&gt;E192,B212&lt;=E212*1.01,B211&gt;E211*1.01),FALSE)</f>
        <v/>
      </c>
      <c r="R212">
        <f>FALSE</f>
        <v/>
      </c>
      <c r="S212">
        <f>IF(ISNUMBER(G212),B212&lt;G212,FALSE)</f>
        <v/>
      </c>
      <c r="T212">
        <f>OR(O212,P212,Q212,R212,S212)</f>
        <v/>
      </c>
    </row>
    <row r="213">
      <c r="A213">
        <f>IF(Prices!A213="","",Prices!A213)</f>
        <v/>
      </c>
      <c r="B213">
        <f>IF(Prices!E213="","",Prices!E213)</f>
        <v/>
      </c>
      <c r="C213">
        <f>IF(Prices!C213="","",Prices!C213)</f>
        <v/>
      </c>
      <c r="D213">
        <f>IF(Prices!D213="","",Prices!D213)</f>
        <v/>
      </c>
      <c r="E213">
        <f>AVERAGE(B164:B213)</f>
        <v/>
      </c>
      <c r="F213">
        <f>AVERAGE(B14:B213)</f>
        <v/>
      </c>
      <c r="G213">
        <f>AVERAGE(B194:B213)-2*STDEV.P(B194:B213)</f>
        <v/>
      </c>
      <c r="H213">
        <f>MAX(B213-B212,0)</f>
        <v/>
      </c>
      <c r="I213">
        <f>MAX(B212-B213,0)</f>
        <v/>
      </c>
      <c r="J213">
        <f>(J212*13+H213)/14</f>
        <v/>
      </c>
      <c r="K213">
        <f>(K212*13+I213)/14</f>
        <v/>
      </c>
      <c r="L213">
        <f>IF(K213=0,100,100-100/(1+J213/K213))</f>
        <v/>
      </c>
      <c r="M213">
        <f>IF(MAX(C200:C213)=MIN(D200:D213),50,100*(B213-MIN(D200:D213))/(MAX(C200:C213)-MIN(D200:D213)))</f>
        <v/>
      </c>
      <c r="N213">
        <f>AVERAGE(M211:M213)</f>
        <v/>
      </c>
      <c r="O213">
        <f>IF(ISNUMBER(L213),L213&lt;30,FALSE)</f>
        <v/>
      </c>
      <c r="P213">
        <f>IF(ISNUMBER(N213),N213&lt;20,FALSE)</f>
        <v/>
      </c>
      <c r="Q213">
        <f>IF(AND(ISNUMBER(E193),ISNUMBER(E213)),AND(E213&gt;E193,B213&lt;=E213*1.01,B212&gt;E212*1.01),FALSE)</f>
        <v/>
      </c>
      <c r="R213">
        <f>FALSE</f>
        <v/>
      </c>
      <c r="S213">
        <f>IF(ISNUMBER(G213),B213&lt;G213,FALSE)</f>
        <v/>
      </c>
      <c r="T213">
        <f>OR(O213,P213,Q213,R213,S213)</f>
        <v/>
      </c>
    </row>
    <row r="214">
      <c r="A214">
        <f>IF(Prices!A214="","",Prices!A214)</f>
        <v/>
      </c>
      <c r="B214">
        <f>IF(Prices!E214="","",Prices!E214)</f>
        <v/>
      </c>
      <c r="C214">
        <f>IF(Prices!C214="","",Prices!C214)</f>
        <v/>
      </c>
      <c r="D214">
        <f>IF(Prices!D214="","",Prices!D214)</f>
        <v/>
      </c>
      <c r="E214">
        <f>AVERAGE(B165:B214)</f>
        <v/>
      </c>
      <c r="F214">
        <f>AVERAGE(B15:B214)</f>
        <v/>
      </c>
      <c r="G214">
        <f>AVERAGE(B195:B214)-2*STDEV.P(B195:B214)</f>
        <v/>
      </c>
      <c r="H214">
        <f>MAX(B214-B213,0)</f>
        <v/>
      </c>
      <c r="I214">
        <f>MAX(B213-B214,0)</f>
        <v/>
      </c>
      <c r="J214">
        <f>(J213*13+H214)/14</f>
        <v/>
      </c>
      <c r="K214">
        <f>(K213*13+I214)/14</f>
        <v/>
      </c>
      <c r="L214">
        <f>IF(K214=0,100,100-100/(1+J214/K214))</f>
        <v/>
      </c>
      <c r="M214">
        <f>IF(MAX(C201:C214)=MIN(D201:D214),50,100*(B214-MIN(D201:D214))/(MAX(C201:C214)-MIN(D201:D214)))</f>
        <v/>
      </c>
      <c r="N214">
        <f>AVERAGE(M212:M214)</f>
        <v/>
      </c>
      <c r="O214">
        <f>IF(ISNUMBER(L214),L214&lt;30,FALSE)</f>
        <v/>
      </c>
      <c r="P214">
        <f>IF(ISNUMBER(N214),N214&lt;20,FALSE)</f>
        <v/>
      </c>
      <c r="Q214">
        <f>IF(AND(ISNUMBER(E194),ISNUMBER(E214)),AND(E214&gt;E194,B214&lt;=E214*1.01,B213&gt;E213*1.01),FALSE)</f>
        <v/>
      </c>
      <c r="R214">
        <f>FALSE</f>
        <v/>
      </c>
      <c r="S214">
        <f>IF(ISNUMBER(G214),B214&lt;G214,FALSE)</f>
        <v/>
      </c>
      <c r="T214">
        <f>OR(O214,P214,Q214,R214,S214)</f>
        <v/>
      </c>
    </row>
    <row r="215">
      <c r="A215">
        <f>IF(Prices!A215="","",Prices!A215)</f>
        <v/>
      </c>
      <c r="B215">
        <f>IF(Prices!E215="","",Prices!E215)</f>
        <v/>
      </c>
      <c r="C215">
        <f>IF(Prices!C215="","",Prices!C215)</f>
        <v/>
      </c>
      <c r="D215">
        <f>IF(Prices!D215="","",Prices!D215)</f>
        <v/>
      </c>
      <c r="E215">
        <f>AVERAGE(B166:B215)</f>
        <v/>
      </c>
      <c r="F215">
        <f>AVERAGE(B16:B215)</f>
        <v/>
      </c>
      <c r="G215">
        <f>AVERAGE(B196:B215)-2*STDEV.P(B196:B215)</f>
        <v/>
      </c>
      <c r="H215">
        <f>MAX(B215-B214,0)</f>
        <v/>
      </c>
      <c r="I215">
        <f>MAX(B214-B215,0)</f>
        <v/>
      </c>
      <c r="J215">
        <f>(J214*13+H215)/14</f>
        <v/>
      </c>
      <c r="K215">
        <f>(K214*13+I215)/14</f>
        <v/>
      </c>
      <c r="L215">
        <f>IF(K215=0,100,100-100/(1+J215/K215))</f>
        <v/>
      </c>
      <c r="M215">
        <f>IF(MAX(C202:C215)=MIN(D202:D215),50,100*(B215-MIN(D202:D215))/(MAX(C202:C215)-MIN(D202:D215)))</f>
        <v/>
      </c>
      <c r="N215">
        <f>AVERAGE(M213:M215)</f>
        <v/>
      </c>
      <c r="O215">
        <f>IF(ISNUMBER(L215),L215&lt;30,FALSE)</f>
        <v/>
      </c>
      <c r="P215">
        <f>IF(ISNUMBER(N215),N215&lt;20,FALSE)</f>
        <v/>
      </c>
      <c r="Q215">
        <f>IF(AND(ISNUMBER(E195),ISNUMBER(E215)),AND(E215&gt;E195,B215&lt;=E215*1.01,B214&gt;E214*1.01),FALSE)</f>
        <v/>
      </c>
      <c r="R215">
        <f>FALSE</f>
        <v/>
      </c>
      <c r="S215">
        <f>IF(ISNUMBER(G215),B215&lt;G215,FALSE)</f>
        <v/>
      </c>
      <c r="T215">
        <f>OR(O215,P215,Q215,R215,S215)</f>
        <v/>
      </c>
    </row>
    <row r="216">
      <c r="A216">
        <f>IF(Prices!A216="","",Prices!A216)</f>
        <v/>
      </c>
      <c r="B216">
        <f>IF(Prices!E216="","",Prices!E216)</f>
        <v/>
      </c>
      <c r="C216">
        <f>IF(Prices!C216="","",Prices!C216)</f>
        <v/>
      </c>
      <c r="D216">
        <f>IF(Prices!D216="","",Prices!D216)</f>
        <v/>
      </c>
      <c r="E216">
        <f>AVERAGE(B167:B216)</f>
        <v/>
      </c>
      <c r="F216">
        <f>AVERAGE(B17:B216)</f>
        <v/>
      </c>
      <c r="G216">
        <f>AVERAGE(B197:B216)-2*STDEV.P(B197:B216)</f>
        <v/>
      </c>
      <c r="H216">
        <f>MAX(B216-B215,0)</f>
        <v/>
      </c>
      <c r="I216">
        <f>MAX(B215-B216,0)</f>
        <v/>
      </c>
      <c r="J216">
        <f>(J215*13+H216)/14</f>
        <v/>
      </c>
      <c r="K216">
        <f>(K215*13+I216)/14</f>
        <v/>
      </c>
      <c r="L216">
        <f>IF(K216=0,100,100-100/(1+J216/K216))</f>
        <v/>
      </c>
      <c r="M216">
        <f>IF(MAX(C203:C216)=MIN(D203:D216),50,100*(B216-MIN(D203:D216))/(MAX(C203:C216)-MIN(D203:D216)))</f>
        <v/>
      </c>
      <c r="N216">
        <f>AVERAGE(M214:M216)</f>
        <v/>
      </c>
      <c r="O216">
        <f>IF(ISNUMBER(L216),L216&lt;30,FALSE)</f>
        <v/>
      </c>
      <c r="P216">
        <f>IF(ISNUMBER(N216),N216&lt;20,FALSE)</f>
        <v/>
      </c>
      <c r="Q216">
        <f>IF(AND(ISNUMBER(E196),ISNUMBER(E216)),AND(E216&gt;E196,B216&lt;=E216*1.01,B215&gt;E215*1.01),FALSE)</f>
        <v/>
      </c>
      <c r="R216">
        <f>FALSE</f>
        <v/>
      </c>
      <c r="S216">
        <f>IF(ISNUMBER(G216),B216&lt;G216,FALSE)</f>
        <v/>
      </c>
      <c r="T216">
        <f>OR(O216,P216,Q216,R216,S216)</f>
        <v/>
      </c>
    </row>
    <row r="217">
      <c r="A217">
        <f>IF(Prices!A217="","",Prices!A217)</f>
        <v/>
      </c>
      <c r="B217">
        <f>IF(Prices!E217="","",Prices!E217)</f>
        <v/>
      </c>
      <c r="C217">
        <f>IF(Prices!C217="","",Prices!C217)</f>
        <v/>
      </c>
      <c r="D217">
        <f>IF(Prices!D217="","",Prices!D217)</f>
        <v/>
      </c>
      <c r="E217">
        <f>AVERAGE(B168:B217)</f>
        <v/>
      </c>
      <c r="F217">
        <f>AVERAGE(B18:B217)</f>
        <v/>
      </c>
      <c r="G217">
        <f>AVERAGE(B198:B217)-2*STDEV.P(B198:B217)</f>
        <v/>
      </c>
      <c r="H217">
        <f>MAX(B217-B216,0)</f>
        <v/>
      </c>
      <c r="I217">
        <f>MAX(B216-B217,0)</f>
        <v/>
      </c>
      <c r="J217">
        <f>(J216*13+H217)/14</f>
        <v/>
      </c>
      <c r="K217">
        <f>(K216*13+I217)/14</f>
        <v/>
      </c>
      <c r="L217">
        <f>IF(K217=0,100,100-100/(1+J217/K217))</f>
        <v/>
      </c>
      <c r="M217">
        <f>IF(MAX(C204:C217)=MIN(D204:D217),50,100*(B217-MIN(D204:D217))/(MAX(C204:C217)-MIN(D204:D217)))</f>
        <v/>
      </c>
      <c r="N217">
        <f>AVERAGE(M215:M217)</f>
        <v/>
      </c>
      <c r="O217">
        <f>IF(ISNUMBER(L217),L217&lt;30,FALSE)</f>
        <v/>
      </c>
      <c r="P217">
        <f>IF(ISNUMBER(N217),N217&lt;20,FALSE)</f>
        <v/>
      </c>
      <c r="Q217">
        <f>IF(AND(ISNUMBER(E197),ISNUMBER(E217)),AND(E217&gt;E197,B217&lt;=E217*1.01,B216&gt;E216*1.01),FALSE)</f>
        <v/>
      </c>
      <c r="R217">
        <f>FALSE</f>
        <v/>
      </c>
      <c r="S217">
        <f>IF(ISNUMBER(G217),B217&lt;G217,FALSE)</f>
        <v/>
      </c>
      <c r="T217">
        <f>OR(O217,P217,Q217,R217,S217)</f>
        <v/>
      </c>
    </row>
    <row r="218">
      <c r="A218">
        <f>IF(Prices!A218="","",Prices!A218)</f>
        <v/>
      </c>
      <c r="B218">
        <f>IF(Prices!E218="","",Prices!E218)</f>
        <v/>
      </c>
      <c r="C218">
        <f>IF(Prices!C218="","",Prices!C218)</f>
        <v/>
      </c>
      <c r="D218">
        <f>IF(Prices!D218="","",Prices!D218)</f>
        <v/>
      </c>
      <c r="E218">
        <f>AVERAGE(B169:B218)</f>
        <v/>
      </c>
      <c r="F218">
        <f>AVERAGE(B19:B218)</f>
        <v/>
      </c>
      <c r="G218">
        <f>AVERAGE(B199:B218)-2*STDEV.P(B199:B218)</f>
        <v/>
      </c>
      <c r="H218">
        <f>MAX(B218-B217,0)</f>
        <v/>
      </c>
      <c r="I218">
        <f>MAX(B217-B218,0)</f>
        <v/>
      </c>
      <c r="J218">
        <f>(J217*13+H218)/14</f>
        <v/>
      </c>
      <c r="K218">
        <f>(K217*13+I218)/14</f>
        <v/>
      </c>
      <c r="L218">
        <f>IF(K218=0,100,100-100/(1+J218/K218))</f>
        <v/>
      </c>
      <c r="M218">
        <f>IF(MAX(C205:C218)=MIN(D205:D218),50,100*(B218-MIN(D205:D218))/(MAX(C205:C218)-MIN(D205:D218)))</f>
        <v/>
      </c>
      <c r="N218">
        <f>AVERAGE(M216:M218)</f>
        <v/>
      </c>
      <c r="O218">
        <f>IF(ISNUMBER(L218),L218&lt;30,FALSE)</f>
        <v/>
      </c>
      <c r="P218">
        <f>IF(ISNUMBER(N218),N218&lt;20,FALSE)</f>
        <v/>
      </c>
      <c r="Q218">
        <f>IF(AND(ISNUMBER(E198),ISNUMBER(E218)),AND(E218&gt;E198,B218&lt;=E218*1.01,B217&gt;E217*1.01),FALSE)</f>
        <v/>
      </c>
      <c r="R218">
        <f>FALSE</f>
        <v/>
      </c>
      <c r="S218">
        <f>IF(ISNUMBER(G218),B218&lt;G218,FALSE)</f>
        <v/>
      </c>
      <c r="T218">
        <f>OR(O218,P218,Q218,R218,S218)</f>
        <v/>
      </c>
    </row>
    <row r="219">
      <c r="A219">
        <f>IF(Prices!A219="","",Prices!A219)</f>
        <v/>
      </c>
      <c r="B219">
        <f>IF(Prices!E219="","",Prices!E219)</f>
        <v/>
      </c>
      <c r="C219">
        <f>IF(Prices!C219="","",Prices!C219)</f>
        <v/>
      </c>
      <c r="D219">
        <f>IF(Prices!D219="","",Prices!D219)</f>
        <v/>
      </c>
      <c r="E219">
        <f>AVERAGE(B170:B219)</f>
        <v/>
      </c>
      <c r="F219">
        <f>AVERAGE(B20:B219)</f>
        <v/>
      </c>
      <c r="G219">
        <f>AVERAGE(B200:B219)-2*STDEV.P(B200:B219)</f>
        <v/>
      </c>
      <c r="H219">
        <f>MAX(B219-B218,0)</f>
        <v/>
      </c>
      <c r="I219">
        <f>MAX(B218-B219,0)</f>
        <v/>
      </c>
      <c r="J219">
        <f>(J218*13+H219)/14</f>
        <v/>
      </c>
      <c r="K219">
        <f>(K218*13+I219)/14</f>
        <v/>
      </c>
      <c r="L219">
        <f>IF(K219=0,100,100-100/(1+J219/K219))</f>
        <v/>
      </c>
      <c r="M219">
        <f>IF(MAX(C206:C219)=MIN(D206:D219),50,100*(B219-MIN(D206:D219))/(MAX(C206:C219)-MIN(D206:D219)))</f>
        <v/>
      </c>
      <c r="N219">
        <f>AVERAGE(M217:M219)</f>
        <v/>
      </c>
      <c r="O219">
        <f>IF(ISNUMBER(L219),L219&lt;30,FALSE)</f>
        <v/>
      </c>
      <c r="P219">
        <f>IF(ISNUMBER(N219),N219&lt;20,FALSE)</f>
        <v/>
      </c>
      <c r="Q219">
        <f>IF(AND(ISNUMBER(E199),ISNUMBER(E219)),AND(E219&gt;E199,B219&lt;=E219*1.01,B218&gt;E218*1.01),FALSE)</f>
        <v/>
      </c>
      <c r="R219">
        <f>FALSE</f>
        <v/>
      </c>
      <c r="S219">
        <f>IF(ISNUMBER(G219),B219&lt;G219,FALSE)</f>
        <v/>
      </c>
      <c r="T219">
        <f>OR(O219,P219,Q219,R219,S219)</f>
        <v/>
      </c>
    </row>
    <row r="220">
      <c r="A220">
        <f>IF(Prices!A220="","",Prices!A220)</f>
        <v/>
      </c>
      <c r="B220">
        <f>IF(Prices!E220="","",Prices!E220)</f>
        <v/>
      </c>
      <c r="C220">
        <f>IF(Prices!C220="","",Prices!C220)</f>
        <v/>
      </c>
      <c r="D220">
        <f>IF(Prices!D220="","",Prices!D220)</f>
        <v/>
      </c>
      <c r="E220">
        <f>AVERAGE(B171:B220)</f>
        <v/>
      </c>
      <c r="F220">
        <f>AVERAGE(B21:B220)</f>
        <v/>
      </c>
      <c r="G220">
        <f>AVERAGE(B201:B220)-2*STDEV.P(B201:B220)</f>
        <v/>
      </c>
      <c r="H220">
        <f>MAX(B220-B219,0)</f>
        <v/>
      </c>
      <c r="I220">
        <f>MAX(B219-B220,0)</f>
        <v/>
      </c>
      <c r="J220">
        <f>(J219*13+H220)/14</f>
        <v/>
      </c>
      <c r="K220">
        <f>(K219*13+I220)/14</f>
        <v/>
      </c>
      <c r="L220">
        <f>IF(K220=0,100,100-100/(1+J220/K220))</f>
        <v/>
      </c>
      <c r="M220">
        <f>IF(MAX(C207:C220)=MIN(D207:D220),50,100*(B220-MIN(D207:D220))/(MAX(C207:C220)-MIN(D207:D220)))</f>
        <v/>
      </c>
      <c r="N220">
        <f>AVERAGE(M218:M220)</f>
        <v/>
      </c>
      <c r="O220">
        <f>IF(ISNUMBER(L220),L220&lt;30,FALSE)</f>
        <v/>
      </c>
      <c r="P220">
        <f>IF(ISNUMBER(N220),N220&lt;20,FALSE)</f>
        <v/>
      </c>
      <c r="Q220">
        <f>IF(AND(ISNUMBER(E200),ISNUMBER(E220)),AND(E220&gt;E200,B220&lt;=E220*1.01,B219&gt;E219*1.01),FALSE)</f>
        <v/>
      </c>
      <c r="R220">
        <f>FALSE</f>
        <v/>
      </c>
      <c r="S220">
        <f>IF(ISNUMBER(G220),B220&lt;G220,FALSE)</f>
        <v/>
      </c>
      <c r="T220">
        <f>OR(O220,P220,Q220,R220,S220)</f>
        <v/>
      </c>
    </row>
    <row r="221">
      <c r="A221">
        <f>IF(Prices!A221="","",Prices!A221)</f>
        <v/>
      </c>
      <c r="B221">
        <f>IF(Prices!E221="","",Prices!E221)</f>
        <v/>
      </c>
      <c r="C221">
        <f>IF(Prices!C221="","",Prices!C221)</f>
        <v/>
      </c>
      <c r="D221">
        <f>IF(Prices!D221="","",Prices!D221)</f>
        <v/>
      </c>
      <c r="E221">
        <f>AVERAGE(B172:B221)</f>
        <v/>
      </c>
      <c r="F221">
        <f>AVERAGE(B22:B221)</f>
        <v/>
      </c>
      <c r="G221">
        <f>AVERAGE(B202:B221)-2*STDEV.P(B202:B221)</f>
        <v/>
      </c>
      <c r="H221">
        <f>MAX(B221-B220,0)</f>
        <v/>
      </c>
      <c r="I221">
        <f>MAX(B220-B221,0)</f>
        <v/>
      </c>
      <c r="J221">
        <f>(J220*13+H221)/14</f>
        <v/>
      </c>
      <c r="K221">
        <f>(K220*13+I221)/14</f>
        <v/>
      </c>
      <c r="L221">
        <f>IF(K221=0,100,100-100/(1+J221/K221))</f>
        <v/>
      </c>
      <c r="M221">
        <f>IF(MAX(C208:C221)=MIN(D208:D221),50,100*(B221-MIN(D208:D221))/(MAX(C208:C221)-MIN(D208:D221)))</f>
        <v/>
      </c>
      <c r="N221">
        <f>AVERAGE(M219:M221)</f>
        <v/>
      </c>
      <c r="O221">
        <f>IF(ISNUMBER(L221),L221&lt;30,FALSE)</f>
        <v/>
      </c>
      <c r="P221">
        <f>IF(ISNUMBER(N221),N221&lt;20,FALSE)</f>
        <v/>
      </c>
      <c r="Q221">
        <f>IF(AND(ISNUMBER(E201),ISNUMBER(E221)),AND(E221&gt;E201,B221&lt;=E221*1.01,B220&gt;E220*1.01),FALSE)</f>
        <v/>
      </c>
      <c r="R221">
        <f>IF(AND(ISNUMBER(F201),ISNUMBER(F221)),AND(F221&gt;F201,B221&lt;=F221*1.01,B220&gt;F220*1.01),FALSE)</f>
        <v/>
      </c>
      <c r="S221">
        <f>IF(ISNUMBER(G221),B221&lt;G221,FALSE)</f>
        <v/>
      </c>
      <c r="T221">
        <f>OR(O221,P221,Q221,R221,S221)</f>
        <v/>
      </c>
    </row>
    <row r="222">
      <c r="A222">
        <f>IF(Prices!A222="","",Prices!A222)</f>
        <v/>
      </c>
      <c r="B222">
        <f>IF(Prices!E222="","",Prices!E222)</f>
        <v/>
      </c>
      <c r="C222">
        <f>IF(Prices!C222="","",Prices!C222)</f>
        <v/>
      </c>
      <c r="D222">
        <f>IF(Prices!D222="","",Prices!D222)</f>
        <v/>
      </c>
      <c r="E222">
        <f>AVERAGE(B173:B222)</f>
        <v/>
      </c>
      <c r="F222">
        <f>AVERAGE(B23:B222)</f>
        <v/>
      </c>
      <c r="G222">
        <f>AVERAGE(B203:B222)-2*STDEV.P(B203:B222)</f>
        <v/>
      </c>
      <c r="H222">
        <f>MAX(B222-B221,0)</f>
        <v/>
      </c>
      <c r="I222">
        <f>MAX(B221-B222,0)</f>
        <v/>
      </c>
      <c r="J222">
        <f>(J221*13+H222)/14</f>
        <v/>
      </c>
      <c r="K222">
        <f>(K221*13+I222)/14</f>
        <v/>
      </c>
      <c r="L222">
        <f>IF(K222=0,100,100-100/(1+J222/K222))</f>
        <v/>
      </c>
      <c r="M222">
        <f>IF(MAX(C209:C222)=MIN(D209:D222),50,100*(B222-MIN(D209:D222))/(MAX(C209:C222)-MIN(D209:D222)))</f>
        <v/>
      </c>
      <c r="N222">
        <f>AVERAGE(M220:M222)</f>
        <v/>
      </c>
      <c r="O222">
        <f>IF(ISNUMBER(L222),L222&lt;30,FALSE)</f>
        <v/>
      </c>
      <c r="P222">
        <f>IF(ISNUMBER(N222),N222&lt;20,FALSE)</f>
        <v/>
      </c>
      <c r="Q222">
        <f>IF(AND(ISNUMBER(E202),ISNUMBER(E222)),AND(E222&gt;E202,B222&lt;=E222*1.01,B221&gt;E221*1.01),FALSE)</f>
        <v/>
      </c>
      <c r="R222">
        <f>IF(AND(ISNUMBER(F202),ISNUMBER(F222)),AND(F222&gt;F202,B222&lt;=F222*1.01,B221&gt;F221*1.01),FALSE)</f>
        <v/>
      </c>
      <c r="S222">
        <f>IF(ISNUMBER(G222),B222&lt;G222,FALSE)</f>
        <v/>
      </c>
      <c r="T222">
        <f>OR(O222,P222,Q222,R222,S222)</f>
        <v/>
      </c>
    </row>
    <row r="223">
      <c r="A223">
        <f>IF(Prices!A223="","",Prices!A223)</f>
        <v/>
      </c>
      <c r="B223">
        <f>IF(Prices!E223="","",Prices!E223)</f>
        <v/>
      </c>
      <c r="C223">
        <f>IF(Prices!C223="","",Prices!C223)</f>
        <v/>
      </c>
      <c r="D223">
        <f>IF(Prices!D223="","",Prices!D223)</f>
        <v/>
      </c>
      <c r="E223">
        <f>AVERAGE(B174:B223)</f>
        <v/>
      </c>
      <c r="F223">
        <f>AVERAGE(B24:B223)</f>
        <v/>
      </c>
      <c r="G223">
        <f>AVERAGE(B204:B223)-2*STDEV.P(B204:B223)</f>
        <v/>
      </c>
      <c r="H223">
        <f>MAX(B223-B222,0)</f>
        <v/>
      </c>
      <c r="I223">
        <f>MAX(B222-B223,0)</f>
        <v/>
      </c>
      <c r="J223">
        <f>(J222*13+H223)/14</f>
        <v/>
      </c>
      <c r="K223">
        <f>(K222*13+I223)/14</f>
        <v/>
      </c>
      <c r="L223">
        <f>IF(K223=0,100,100-100/(1+J223/K223))</f>
        <v/>
      </c>
      <c r="M223">
        <f>IF(MAX(C210:C223)=MIN(D210:D223),50,100*(B223-MIN(D210:D223))/(MAX(C210:C223)-MIN(D210:D223)))</f>
        <v/>
      </c>
      <c r="N223">
        <f>AVERAGE(M221:M223)</f>
        <v/>
      </c>
      <c r="O223">
        <f>IF(ISNUMBER(L223),L223&lt;30,FALSE)</f>
        <v/>
      </c>
      <c r="P223">
        <f>IF(ISNUMBER(N223),N223&lt;20,FALSE)</f>
        <v/>
      </c>
      <c r="Q223">
        <f>IF(AND(ISNUMBER(E203),ISNUMBER(E223)),AND(E223&gt;E203,B223&lt;=E223*1.01,B222&gt;E222*1.01),FALSE)</f>
        <v/>
      </c>
      <c r="R223">
        <f>IF(AND(ISNUMBER(F203),ISNUMBER(F223)),AND(F223&gt;F203,B223&lt;=F223*1.01,B222&gt;F222*1.01),FALSE)</f>
        <v/>
      </c>
      <c r="S223">
        <f>IF(ISNUMBER(G223),B223&lt;G223,FALSE)</f>
        <v/>
      </c>
      <c r="T223">
        <f>OR(O223,P223,Q223,R223,S223)</f>
        <v/>
      </c>
    </row>
    <row r="224">
      <c r="A224">
        <f>IF(Prices!A224="","",Prices!A224)</f>
        <v/>
      </c>
      <c r="B224">
        <f>IF(Prices!E224="","",Prices!E224)</f>
        <v/>
      </c>
      <c r="C224">
        <f>IF(Prices!C224="","",Prices!C224)</f>
        <v/>
      </c>
      <c r="D224">
        <f>IF(Prices!D224="","",Prices!D224)</f>
        <v/>
      </c>
      <c r="E224">
        <f>AVERAGE(B175:B224)</f>
        <v/>
      </c>
      <c r="F224">
        <f>AVERAGE(B25:B224)</f>
        <v/>
      </c>
      <c r="G224">
        <f>AVERAGE(B205:B224)-2*STDEV.P(B205:B224)</f>
        <v/>
      </c>
      <c r="H224">
        <f>MAX(B224-B223,0)</f>
        <v/>
      </c>
      <c r="I224">
        <f>MAX(B223-B224,0)</f>
        <v/>
      </c>
      <c r="J224">
        <f>(J223*13+H224)/14</f>
        <v/>
      </c>
      <c r="K224">
        <f>(K223*13+I224)/14</f>
        <v/>
      </c>
      <c r="L224">
        <f>IF(K224=0,100,100-100/(1+J224/K224))</f>
        <v/>
      </c>
      <c r="M224">
        <f>IF(MAX(C211:C224)=MIN(D211:D224),50,100*(B224-MIN(D211:D224))/(MAX(C211:C224)-MIN(D211:D224)))</f>
        <v/>
      </c>
      <c r="N224">
        <f>AVERAGE(M222:M224)</f>
        <v/>
      </c>
      <c r="O224">
        <f>IF(ISNUMBER(L224),L224&lt;30,FALSE)</f>
        <v/>
      </c>
      <c r="P224">
        <f>IF(ISNUMBER(N224),N224&lt;20,FALSE)</f>
        <v/>
      </c>
      <c r="Q224">
        <f>IF(AND(ISNUMBER(E204),ISNUMBER(E224)),AND(E224&gt;E204,B224&lt;=E224*1.01,B223&gt;E223*1.01),FALSE)</f>
        <v/>
      </c>
      <c r="R224">
        <f>IF(AND(ISNUMBER(F204),ISNUMBER(F224)),AND(F224&gt;F204,B224&lt;=F224*1.01,B223&gt;F223*1.01),FALSE)</f>
        <v/>
      </c>
      <c r="S224">
        <f>IF(ISNUMBER(G224),B224&lt;G224,FALSE)</f>
        <v/>
      </c>
      <c r="T224">
        <f>OR(O224,P224,Q224,R224,S224)</f>
        <v/>
      </c>
    </row>
    <row r="225">
      <c r="A225">
        <f>IF(Prices!A225="","",Prices!A225)</f>
        <v/>
      </c>
      <c r="B225">
        <f>IF(Prices!E225="","",Prices!E225)</f>
        <v/>
      </c>
      <c r="C225">
        <f>IF(Prices!C225="","",Prices!C225)</f>
        <v/>
      </c>
      <c r="D225">
        <f>IF(Prices!D225="","",Prices!D225)</f>
        <v/>
      </c>
      <c r="E225">
        <f>AVERAGE(B176:B225)</f>
        <v/>
      </c>
      <c r="F225">
        <f>AVERAGE(B26:B225)</f>
        <v/>
      </c>
      <c r="G225">
        <f>AVERAGE(B206:B225)-2*STDEV.P(B206:B225)</f>
        <v/>
      </c>
      <c r="H225">
        <f>MAX(B225-B224,0)</f>
        <v/>
      </c>
      <c r="I225">
        <f>MAX(B224-B225,0)</f>
        <v/>
      </c>
      <c r="J225">
        <f>(J224*13+H225)/14</f>
        <v/>
      </c>
      <c r="K225">
        <f>(K224*13+I225)/14</f>
        <v/>
      </c>
      <c r="L225">
        <f>IF(K225=0,100,100-100/(1+J225/K225))</f>
        <v/>
      </c>
      <c r="M225">
        <f>IF(MAX(C212:C225)=MIN(D212:D225),50,100*(B225-MIN(D212:D225))/(MAX(C212:C225)-MIN(D212:D225)))</f>
        <v/>
      </c>
      <c r="N225">
        <f>AVERAGE(M223:M225)</f>
        <v/>
      </c>
      <c r="O225">
        <f>IF(ISNUMBER(L225),L225&lt;30,FALSE)</f>
        <v/>
      </c>
      <c r="P225">
        <f>IF(ISNUMBER(N225),N225&lt;20,FALSE)</f>
        <v/>
      </c>
      <c r="Q225">
        <f>IF(AND(ISNUMBER(E205),ISNUMBER(E225)),AND(E225&gt;E205,B225&lt;=E225*1.01,B224&gt;E224*1.01),FALSE)</f>
        <v/>
      </c>
      <c r="R225">
        <f>IF(AND(ISNUMBER(F205),ISNUMBER(F225)),AND(F225&gt;F205,B225&lt;=F225*1.01,B224&gt;F224*1.01),FALSE)</f>
        <v/>
      </c>
      <c r="S225">
        <f>IF(ISNUMBER(G225),B225&lt;G225,FALSE)</f>
        <v/>
      </c>
      <c r="T225">
        <f>OR(O225,P225,Q225,R225,S225)</f>
        <v/>
      </c>
    </row>
    <row r="226">
      <c r="A226">
        <f>IF(Prices!A226="","",Prices!A226)</f>
        <v/>
      </c>
      <c r="B226">
        <f>IF(Prices!E226="","",Prices!E226)</f>
        <v/>
      </c>
      <c r="C226">
        <f>IF(Prices!C226="","",Prices!C226)</f>
        <v/>
      </c>
      <c r="D226">
        <f>IF(Prices!D226="","",Prices!D226)</f>
        <v/>
      </c>
      <c r="E226">
        <f>AVERAGE(B177:B226)</f>
        <v/>
      </c>
      <c r="F226">
        <f>AVERAGE(B27:B226)</f>
        <v/>
      </c>
      <c r="G226">
        <f>AVERAGE(B207:B226)-2*STDEV.P(B207:B226)</f>
        <v/>
      </c>
      <c r="H226">
        <f>MAX(B226-B225,0)</f>
        <v/>
      </c>
      <c r="I226">
        <f>MAX(B225-B226,0)</f>
        <v/>
      </c>
      <c r="J226">
        <f>(J225*13+H226)/14</f>
        <v/>
      </c>
      <c r="K226">
        <f>(K225*13+I226)/14</f>
        <v/>
      </c>
      <c r="L226">
        <f>IF(K226=0,100,100-100/(1+J226/K226))</f>
        <v/>
      </c>
      <c r="M226">
        <f>IF(MAX(C213:C226)=MIN(D213:D226),50,100*(B226-MIN(D213:D226))/(MAX(C213:C226)-MIN(D213:D226)))</f>
        <v/>
      </c>
      <c r="N226">
        <f>AVERAGE(M224:M226)</f>
        <v/>
      </c>
      <c r="O226">
        <f>IF(ISNUMBER(L226),L226&lt;30,FALSE)</f>
        <v/>
      </c>
      <c r="P226">
        <f>IF(ISNUMBER(N226),N226&lt;20,FALSE)</f>
        <v/>
      </c>
      <c r="Q226">
        <f>IF(AND(ISNUMBER(E206),ISNUMBER(E226)),AND(E226&gt;E206,B226&lt;=E226*1.01,B225&gt;E225*1.01),FALSE)</f>
        <v/>
      </c>
      <c r="R226">
        <f>IF(AND(ISNUMBER(F206),ISNUMBER(F226)),AND(F226&gt;F206,B226&lt;=F226*1.01,B225&gt;F225*1.01),FALSE)</f>
        <v/>
      </c>
      <c r="S226">
        <f>IF(ISNUMBER(G226),B226&lt;G226,FALSE)</f>
        <v/>
      </c>
      <c r="T226">
        <f>OR(O226,P226,Q226,R226,S226)</f>
        <v/>
      </c>
    </row>
    <row r="227">
      <c r="A227">
        <f>IF(Prices!A227="","",Prices!A227)</f>
        <v/>
      </c>
      <c r="B227">
        <f>IF(Prices!E227="","",Prices!E227)</f>
        <v/>
      </c>
      <c r="C227">
        <f>IF(Prices!C227="","",Prices!C227)</f>
        <v/>
      </c>
      <c r="D227">
        <f>IF(Prices!D227="","",Prices!D227)</f>
        <v/>
      </c>
      <c r="E227">
        <f>AVERAGE(B178:B227)</f>
        <v/>
      </c>
      <c r="F227">
        <f>AVERAGE(B28:B227)</f>
        <v/>
      </c>
      <c r="G227">
        <f>AVERAGE(B208:B227)-2*STDEV.P(B208:B227)</f>
        <v/>
      </c>
      <c r="H227">
        <f>MAX(B227-B226,0)</f>
        <v/>
      </c>
      <c r="I227">
        <f>MAX(B226-B227,0)</f>
        <v/>
      </c>
      <c r="J227">
        <f>(J226*13+H227)/14</f>
        <v/>
      </c>
      <c r="K227">
        <f>(K226*13+I227)/14</f>
        <v/>
      </c>
      <c r="L227">
        <f>IF(K227=0,100,100-100/(1+J227/K227))</f>
        <v/>
      </c>
      <c r="M227">
        <f>IF(MAX(C214:C227)=MIN(D214:D227),50,100*(B227-MIN(D214:D227))/(MAX(C214:C227)-MIN(D214:D227)))</f>
        <v/>
      </c>
      <c r="N227">
        <f>AVERAGE(M225:M227)</f>
        <v/>
      </c>
      <c r="O227">
        <f>IF(ISNUMBER(L227),L227&lt;30,FALSE)</f>
        <v/>
      </c>
      <c r="P227">
        <f>IF(ISNUMBER(N227),N227&lt;20,FALSE)</f>
        <v/>
      </c>
      <c r="Q227">
        <f>IF(AND(ISNUMBER(E207),ISNUMBER(E227)),AND(E227&gt;E207,B227&lt;=E227*1.01,B226&gt;E226*1.01),FALSE)</f>
        <v/>
      </c>
      <c r="R227">
        <f>IF(AND(ISNUMBER(F207),ISNUMBER(F227)),AND(F227&gt;F207,B227&lt;=F227*1.01,B226&gt;F226*1.01),FALSE)</f>
        <v/>
      </c>
      <c r="S227">
        <f>IF(ISNUMBER(G227),B227&lt;G227,FALSE)</f>
        <v/>
      </c>
      <c r="T227">
        <f>OR(O227,P227,Q227,R227,S227)</f>
        <v/>
      </c>
    </row>
    <row r="228">
      <c r="A228">
        <f>IF(Prices!A228="","",Prices!A228)</f>
        <v/>
      </c>
      <c r="B228">
        <f>IF(Prices!E228="","",Prices!E228)</f>
        <v/>
      </c>
      <c r="C228">
        <f>IF(Prices!C228="","",Prices!C228)</f>
        <v/>
      </c>
      <c r="D228">
        <f>IF(Prices!D228="","",Prices!D228)</f>
        <v/>
      </c>
      <c r="E228">
        <f>AVERAGE(B179:B228)</f>
        <v/>
      </c>
      <c r="F228">
        <f>AVERAGE(B29:B228)</f>
        <v/>
      </c>
      <c r="G228">
        <f>AVERAGE(B209:B228)-2*STDEV.P(B209:B228)</f>
        <v/>
      </c>
      <c r="H228">
        <f>MAX(B228-B227,0)</f>
        <v/>
      </c>
      <c r="I228">
        <f>MAX(B227-B228,0)</f>
        <v/>
      </c>
      <c r="J228">
        <f>(J227*13+H228)/14</f>
        <v/>
      </c>
      <c r="K228">
        <f>(K227*13+I228)/14</f>
        <v/>
      </c>
      <c r="L228">
        <f>IF(K228=0,100,100-100/(1+J228/K228))</f>
        <v/>
      </c>
      <c r="M228">
        <f>IF(MAX(C215:C228)=MIN(D215:D228),50,100*(B228-MIN(D215:D228))/(MAX(C215:C228)-MIN(D215:D228)))</f>
        <v/>
      </c>
      <c r="N228">
        <f>AVERAGE(M226:M228)</f>
        <v/>
      </c>
      <c r="O228">
        <f>IF(ISNUMBER(L228),L228&lt;30,FALSE)</f>
        <v/>
      </c>
      <c r="P228">
        <f>IF(ISNUMBER(N228),N228&lt;20,FALSE)</f>
        <v/>
      </c>
      <c r="Q228">
        <f>IF(AND(ISNUMBER(E208),ISNUMBER(E228)),AND(E228&gt;E208,B228&lt;=E228*1.01,B227&gt;E227*1.01),FALSE)</f>
        <v/>
      </c>
      <c r="R228">
        <f>IF(AND(ISNUMBER(F208),ISNUMBER(F228)),AND(F228&gt;F208,B228&lt;=F228*1.01,B227&gt;F227*1.01),FALSE)</f>
        <v/>
      </c>
      <c r="S228">
        <f>IF(ISNUMBER(G228),B228&lt;G228,FALSE)</f>
        <v/>
      </c>
      <c r="T228">
        <f>OR(O228,P228,Q228,R228,S228)</f>
        <v/>
      </c>
    </row>
    <row r="229">
      <c r="A229">
        <f>IF(Prices!A229="","",Prices!A229)</f>
        <v/>
      </c>
      <c r="B229">
        <f>IF(Prices!E229="","",Prices!E229)</f>
        <v/>
      </c>
      <c r="C229">
        <f>IF(Prices!C229="","",Prices!C229)</f>
        <v/>
      </c>
      <c r="D229">
        <f>IF(Prices!D229="","",Prices!D229)</f>
        <v/>
      </c>
      <c r="E229">
        <f>AVERAGE(B180:B229)</f>
        <v/>
      </c>
      <c r="F229">
        <f>AVERAGE(B30:B229)</f>
        <v/>
      </c>
      <c r="G229">
        <f>AVERAGE(B210:B229)-2*STDEV.P(B210:B229)</f>
        <v/>
      </c>
      <c r="H229">
        <f>MAX(B229-B228,0)</f>
        <v/>
      </c>
      <c r="I229">
        <f>MAX(B228-B229,0)</f>
        <v/>
      </c>
      <c r="J229">
        <f>(J228*13+H229)/14</f>
        <v/>
      </c>
      <c r="K229">
        <f>(K228*13+I229)/14</f>
        <v/>
      </c>
      <c r="L229">
        <f>IF(K229=0,100,100-100/(1+J229/K229))</f>
        <v/>
      </c>
      <c r="M229">
        <f>IF(MAX(C216:C229)=MIN(D216:D229),50,100*(B229-MIN(D216:D229))/(MAX(C216:C229)-MIN(D216:D229)))</f>
        <v/>
      </c>
      <c r="N229">
        <f>AVERAGE(M227:M229)</f>
        <v/>
      </c>
      <c r="O229">
        <f>IF(ISNUMBER(L229),L229&lt;30,FALSE)</f>
        <v/>
      </c>
      <c r="P229">
        <f>IF(ISNUMBER(N229),N229&lt;20,FALSE)</f>
        <v/>
      </c>
      <c r="Q229">
        <f>IF(AND(ISNUMBER(E209),ISNUMBER(E229)),AND(E229&gt;E209,B229&lt;=E229*1.01,B228&gt;E228*1.01),FALSE)</f>
        <v/>
      </c>
      <c r="R229">
        <f>IF(AND(ISNUMBER(F209),ISNUMBER(F229)),AND(F229&gt;F209,B229&lt;=F229*1.01,B228&gt;F228*1.01),FALSE)</f>
        <v/>
      </c>
      <c r="S229">
        <f>IF(ISNUMBER(G229),B229&lt;G229,FALSE)</f>
        <v/>
      </c>
      <c r="T229">
        <f>OR(O229,P229,Q229,R229,S229)</f>
        <v/>
      </c>
    </row>
    <row r="230">
      <c r="A230">
        <f>IF(Prices!A230="","",Prices!A230)</f>
        <v/>
      </c>
      <c r="B230">
        <f>IF(Prices!E230="","",Prices!E230)</f>
        <v/>
      </c>
      <c r="C230">
        <f>IF(Prices!C230="","",Prices!C230)</f>
        <v/>
      </c>
      <c r="D230">
        <f>IF(Prices!D230="","",Prices!D230)</f>
        <v/>
      </c>
      <c r="E230">
        <f>AVERAGE(B181:B230)</f>
        <v/>
      </c>
      <c r="F230">
        <f>AVERAGE(B31:B230)</f>
        <v/>
      </c>
      <c r="G230">
        <f>AVERAGE(B211:B230)-2*STDEV.P(B211:B230)</f>
        <v/>
      </c>
      <c r="H230">
        <f>MAX(B230-B229,0)</f>
        <v/>
      </c>
      <c r="I230">
        <f>MAX(B229-B230,0)</f>
        <v/>
      </c>
      <c r="J230">
        <f>(J229*13+H230)/14</f>
        <v/>
      </c>
      <c r="K230">
        <f>(K229*13+I230)/14</f>
        <v/>
      </c>
      <c r="L230">
        <f>IF(K230=0,100,100-100/(1+J230/K230))</f>
        <v/>
      </c>
      <c r="M230">
        <f>IF(MAX(C217:C230)=MIN(D217:D230),50,100*(B230-MIN(D217:D230))/(MAX(C217:C230)-MIN(D217:D230)))</f>
        <v/>
      </c>
      <c r="N230">
        <f>AVERAGE(M228:M230)</f>
        <v/>
      </c>
      <c r="O230">
        <f>IF(ISNUMBER(L230),L230&lt;30,FALSE)</f>
        <v/>
      </c>
      <c r="P230">
        <f>IF(ISNUMBER(N230),N230&lt;20,FALSE)</f>
        <v/>
      </c>
      <c r="Q230">
        <f>IF(AND(ISNUMBER(E210),ISNUMBER(E230)),AND(E230&gt;E210,B230&lt;=E230*1.01,B229&gt;E229*1.01),FALSE)</f>
        <v/>
      </c>
      <c r="R230">
        <f>IF(AND(ISNUMBER(F210),ISNUMBER(F230)),AND(F230&gt;F210,B230&lt;=F230*1.01,B229&gt;F229*1.01),FALSE)</f>
        <v/>
      </c>
      <c r="S230">
        <f>IF(ISNUMBER(G230),B230&lt;G230,FALSE)</f>
        <v/>
      </c>
      <c r="T230">
        <f>OR(O230,P230,Q230,R230,S230)</f>
        <v/>
      </c>
    </row>
    <row r="231">
      <c r="A231">
        <f>IF(Prices!A231="","",Prices!A231)</f>
        <v/>
      </c>
      <c r="B231">
        <f>IF(Prices!E231="","",Prices!E231)</f>
        <v/>
      </c>
      <c r="C231">
        <f>IF(Prices!C231="","",Prices!C231)</f>
        <v/>
      </c>
      <c r="D231">
        <f>IF(Prices!D231="","",Prices!D231)</f>
        <v/>
      </c>
      <c r="E231">
        <f>AVERAGE(B182:B231)</f>
        <v/>
      </c>
      <c r="F231">
        <f>AVERAGE(B32:B231)</f>
        <v/>
      </c>
      <c r="G231">
        <f>AVERAGE(B212:B231)-2*STDEV.P(B212:B231)</f>
        <v/>
      </c>
      <c r="H231">
        <f>MAX(B231-B230,0)</f>
        <v/>
      </c>
      <c r="I231">
        <f>MAX(B230-B231,0)</f>
        <v/>
      </c>
      <c r="J231">
        <f>(J230*13+H231)/14</f>
        <v/>
      </c>
      <c r="K231">
        <f>(K230*13+I231)/14</f>
        <v/>
      </c>
      <c r="L231">
        <f>IF(K231=0,100,100-100/(1+J231/K231))</f>
        <v/>
      </c>
      <c r="M231">
        <f>IF(MAX(C218:C231)=MIN(D218:D231),50,100*(B231-MIN(D218:D231))/(MAX(C218:C231)-MIN(D218:D231)))</f>
        <v/>
      </c>
      <c r="N231">
        <f>AVERAGE(M229:M231)</f>
        <v/>
      </c>
      <c r="O231">
        <f>IF(ISNUMBER(L231),L231&lt;30,FALSE)</f>
        <v/>
      </c>
      <c r="P231">
        <f>IF(ISNUMBER(N231),N231&lt;20,FALSE)</f>
        <v/>
      </c>
      <c r="Q231">
        <f>IF(AND(ISNUMBER(E211),ISNUMBER(E231)),AND(E231&gt;E211,B231&lt;=E231*1.01,B230&gt;E230*1.01),FALSE)</f>
        <v/>
      </c>
      <c r="R231">
        <f>IF(AND(ISNUMBER(F211),ISNUMBER(F231)),AND(F231&gt;F211,B231&lt;=F231*1.01,B230&gt;F230*1.01),FALSE)</f>
        <v/>
      </c>
      <c r="S231">
        <f>IF(ISNUMBER(G231),B231&lt;G231,FALSE)</f>
        <v/>
      </c>
      <c r="T231">
        <f>OR(O231,P231,Q231,R231,S231)</f>
        <v/>
      </c>
    </row>
    <row r="232">
      <c r="A232">
        <f>IF(Prices!A232="","",Prices!A232)</f>
        <v/>
      </c>
      <c r="B232">
        <f>IF(Prices!E232="","",Prices!E232)</f>
        <v/>
      </c>
      <c r="C232">
        <f>IF(Prices!C232="","",Prices!C232)</f>
        <v/>
      </c>
      <c r="D232">
        <f>IF(Prices!D232="","",Prices!D232)</f>
        <v/>
      </c>
      <c r="E232">
        <f>AVERAGE(B183:B232)</f>
        <v/>
      </c>
      <c r="F232">
        <f>AVERAGE(B33:B232)</f>
        <v/>
      </c>
      <c r="G232">
        <f>AVERAGE(B213:B232)-2*STDEV.P(B213:B232)</f>
        <v/>
      </c>
      <c r="H232">
        <f>MAX(B232-B231,0)</f>
        <v/>
      </c>
      <c r="I232">
        <f>MAX(B231-B232,0)</f>
        <v/>
      </c>
      <c r="J232">
        <f>(J231*13+H232)/14</f>
        <v/>
      </c>
      <c r="K232">
        <f>(K231*13+I232)/14</f>
        <v/>
      </c>
      <c r="L232">
        <f>IF(K232=0,100,100-100/(1+J232/K232))</f>
        <v/>
      </c>
      <c r="M232">
        <f>IF(MAX(C219:C232)=MIN(D219:D232),50,100*(B232-MIN(D219:D232))/(MAX(C219:C232)-MIN(D219:D232)))</f>
        <v/>
      </c>
      <c r="N232">
        <f>AVERAGE(M230:M232)</f>
        <v/>
      </c>
      <c r="O232">
        <f>IF(ISNUMBER(L232),L232&lt;30,FALSE)</f>
        <v/>
      </c>
      <c r="P232">
        <f>IF(ISNUMBER(N232),N232&lt;20,FALSE)</f>
        <v/>
      </c>
      <c r="Q232">
        <f>IF(AND(ISNUMBER(E212),ISNUMBER(E232)),AND(E232&gt;E212,B232&lt;=E232*1.01,B231&gt;E231*1.01),FALSE)</f>
        <v/>
      </c>
      <c r="R232">
        <f>IF(AND(ISNUMBER(F212),ISNUMBER(F232)),AND(F232&gt;F212,B232&lt;=F232*1.01,B231&gt;F231*1.01),FALSE)</f>
        <v/>
      </c>
      <c r="S232">
        <f>IF(ISNUMBER(G232),B232&lt;G232,FALSE)</f>
        <v/>
      </c>
      <c r="T232">
        <f>OR(O232,P232,Q232,R232,S232)</f>
        <v/>
      </c>
    </row>
    <row r="233">
      <c r="A233">
        <f>IF(Prices!A233="","",Prices!A233)</f>
        <v/>
      </c>
      <c r="B233">
        <f>IF(Prices!E233="","",Prices!E233)</f>
        <v/>
      </c>
      <c r="C233">
        <f>IF(Prices!C233="","",Prices!C233)</f>
        <v/>
      </c>
      <c r="D233">
        <f>IF(Prices!D233="","",Prices!D233)</f>
        <v/>
      </c>
      <c r="E233">
        <f>AVERAGE(B184:B233)</f>
        <v/>
      </c>
      <c r="F233">
        <f>AVERAGE(B34:B233)</f>
        <v/>
      </c>
      <c r="G233">
        <f>AVERAGE(B214:B233)-2*STDEV.P(B214:B233)</f>
        <v/>
      </c>
      <c r="H233">
        <f>MAX(B233-B232,0)</f>
        <v/>
      </c>
      <c r="I233">
        <f>MAX(B232-B233,0)</f>
        <v/>
      </c>
      <c r="J233">
        <f>(J232*13+H233)/14</f>
        <v/>
      </c>
      <c r="K233">
        <f>(K232*13+I233)/14</f>
        <v/>
      </c>
      <c r="L233">
        <f>IF(K233=0,100,100-100/(1+J233/K233))</f>
        <v/>
      </c>
      <c r="M233">
        <f>IF(MAX(C220:C233)=MIN(D220:D233),50,100*(B233-MIN(D220:D233))/(MAX(C220:C233)-MIN(D220:D233)))</f>
        <v/>
      </c>
      <c r="N233">
        <f>AVERAGE(M231:M233)</f>
        <v/>
      </c>
      <c r="O233">
        <f>IF(ISNUMBER(L233),L233&lt;30,FALSE)</f>
        <v/>
      </c>
      <c r="P233">
        <f>IF(ISNUMBER(N233),N233&lt;20,FALSE)</f>
        <v/>
      </c>
      <c r="Q233">
        <f>IF(AND(ISNUMBER(E213),ISNUMBER(E233)),AND(E233&gt;E213,B233&lt;=E233*1.01,B232&gt;E232*1.01),FALSE)</f>
        <v/>
      </c>
      <c r="R233">
        <f>IF(AND(ISNUMBER(F213),ISNUMBER(F233)),AND(F233&gt;F213,B233&lt;=F233*1.01,B232&gt;F232*1.01),FALSE)</f>
        <v/>
      </c>
      <c r="S233">
        <f>IF(ISNUMBER(G233),B233&lt;G233,FALSE)</f>
        <v/>
      </c>
      <c r="T233">
        <f>OR(O233,P233,Q233,R233,S233)</f>
        <v/>
      </c>
    </row>
    <row r="234">
      <c r="A234">
        <f>IF(Prices!A234="","",Prices!A234)</f>
        <v/>
      </c>
      <c r="B234">
        <f>IF(Prices!E234="","",Prices!E234)</f>
        <v/>
      </c>
      <c r="C234">
        <f>IF(Prices!C234="","",Prices!C234)</f>
        <v/>
      </c>
      <c r="D234">
        <f>IF(Prices!D234="","",Prices!D234)</f>
        <v/>
      </c>
      <c r="E234">
        <f>AVERAGE(B185:B234)</f>
        <v/>
      </c>
      <c r="F234">
        <f>AVERAGE(B35:B234)</f>
        <v/>
      </c>
      <c r="G234">
        <f>AVERAGE(B215:B234)-2*STDEV.P(B215:B234)</f>
        <v/>
      </c>
      <c r="H234">
        <f>MAX(B234-B233,0)</f>
        <v/>
      </c>
      <c r="I234">
        <f>MAX(B233-B234,0)</f>
        <v/>
      </c>
      <c r="J234">
        <f>(J233*13+H234)/14</f>
        <v/>
      </c>
      <c r="K234">
        <f>(K233*13+I234)/14</f>
        <v/>
      </c>
      <c r="L234">
        <f>IF(K234=0,100,100-100/(1+J234/K234))</f>
        <v/>
      </c>
      <c r="M234">
        <f>IF(MAX(C221:C234)=MIN(D221:D234),50,100*(B234-MIN(D221:D234))/(MAX(C221:C234)-MIN(D221:D234)))</f>
        <v/>
      </c>
      <c r="N234">
        <f>AVERAGE(M232:M234)</f>
        <v/>
      </c>
      <c r="O234">
        <f>IF(ISNUMBER(L234),L234&lt;30,FALSE)</f>
        <v/>
      </c>
      <c r="P234">
        <f>IF(ISNUMBER(N234),N234&lt;20,FALSE)</f>
        <v/>
      </c>
      <c r="Q234">
        <f>IF(AND(ISNUMBER(E214),ISNUMBER(E234)),AND(E234&gt;E214,B234&lt;=E234*1.01,B233&gt;E233*1.01),FALSE)</f>
        <v/>
      </c>
      <c r="R234">
        <f>IF(AND(ISNUMBER(F214),ISNUMBER(F234)),AND(F234&gt;F214,B234&lt;=F234*1.01,B233&gt;F233*1.01),FALSE)</f>
        <v/>
      </c>
      <c r="S234">
        <f>IF(ISNUMBER(G234),B234&lt;G234,FALSE)</f>
        <v/>
      </c>
      <c r="T234">
        <f>OR(O234,P234,Q234,R234,S234)</f>
        <v/>
      </c>
    </row>
    <row r="235">
      <c r="A235">
        <f>IF(Prices!A235="","",Prices!A235)</f>
        <v/>
      </c>
      <c r="B235">
        <f>IF(Prices!E235="","",Prices!E235)</f>
        <v/>
      </c>
      <c r="C235">
        <f>IF(Prices!C235="","",Prices!C235)</f>
        <v/>
      </c>
      <c r="D235">
        <f>IF(Prices!D235="","",Prices!D235)</f>
        <v/>
      </c>
      <c r="E235">
        <f>AVERAGE(B186:B235)</f>
        <v/>
      </c>
      <c r="F235">
        <f>AVERAGE(B36:B235)</f>
        <v/>
      </c>
      <c r="G235">
        <f>AVERAGE(B216:B235)-2*STDEV.P(B216:B235)</f>
        <v/>
      </c>
      <c r="H235">
        <f>MAX(B235-B234,0)</f>
        <v/>
      </c>
      <c r="I235">
        <f>MAX(B234-B235,0)</f>
        <v/>
      </c>
      <c r="J235">
        <f>(J234*13+H235)/14</f>
        <v/>
      </c>
      <c r="K235">
        <f>(K234*13+I235)/14</f>
        <v/>
      </c>
      <c r="L235">
        <f>IF(K235=0,100,100-100/(1+J235/K235))</f>
        <v/>
      </c>
      <c r="M235">
        <f>IF(MAX(C222:C235)=MIN(D222:D235),50,100*(B235-MIN(D222:D235))/(MAX(C222:C235)-MIN(D222:D235)))</f>
        <v/>
      </c>
      <c r="N235">
        <f>AVERAGE(M233:M235)</f>
        <v/>
      </c>
      <c r="O235">
        <f>IF(ISNUMBER(L235),L235&lt;30,FALSE)</f>
        <v/>
      </c>
      <c r="P235">
        <f>IF(ISNUMBER(N235),N235&lt;20,FALSE)</f>
        <v/>
      </c>
      <c r="Q235">
        <f>IF(AND(ISNUMBER(E215),ISNUMBER(E235)),AND(E235&gt;E215,B235&lt;=E235*1.01,B234&gt;E234*1.01),FALSE)</f>
        <v/>
      </c>
      <c r="R235">
        <f>IF(AND(ISNUMBER(F215),ISNUMBER(F235)),AND(F235&gt;F215,B235&lt;=F235*1.01,B234&gt;F234*1.01),FALSE)</f>
        <v/>
      </c>
      <c r="S235">
        <f>IF(ISNUMBER(G235),B235&lt;G235,FALSE)</f>
        <v/>
      </c>
      <c r="T235">
        <f>OR(O235,P235,Q235,R235,S235)</f>
        <v/>
      </c>
    </row>
    <row r="236">
      <c r="A236">
        <f>IF(Prices!A236="","",Prices!A236)</f>
        <v/>
      </c>
      <c r="B236">
        <f>IF(Prices!E236="","",Prices!E236)</f>
        <v/>
      </c>
      <c r="C236">
        <f>IF(Prices!C236="","",Prices!C236)</f>
        <v/>
      </c>
      <c r="D236">
        <f>IF(Prices!D236="","",Prices!D236)</f>
        <v/>
      </c>
      <c r="E236">
        <f>AVERAGE(B187:B236)</f>
        <v/>
      </c>
      <c r="F236">
        <f>AVERAGE(B37:B236)</f>
        <v/>
      </c>
      <c r="G236">
        <f>AVERAGE(B217:B236)-2*STDEV.P(B217:B236)</f>
        <v/>
      </c>
      <c r="H236">
        <f>MAX(B236-B235,0)</f>
        <v/>
      </c>
      <c r="I236">
        <f>MAX(B235-B236,0)</f>
        <v/>
      </c>
      <c r="J236">
        <f>(J235*13+H236)/14</f>
        <v/>
      </c>
      <c r="K236">
        <f>(K235*13+I236)/14</f>
        <v/>
      </c>
      <c r="L236">
        <f>IF(K236=0,100,100-100/(1+J236/K236))</f>
        <v/>
      </c>
      <c r="M236">
        <f>IF(MAX(C223:C236)=MIN(D223:D236),50,100*(B236-MIN(D223:D236))/(MAX(C223:C236)-MIN(D223:D236)))</f>
        <v/>
      </c>
      <c r="N236">
        <f>AVERAGE(M234:M236)</f>
        <v/>
      </c>
      <c r="O236">
        <f>IF(ISNUMBER(L236),L236&lt;30,FALSE)</f>
        <v/>
      </c>
      <c r="P236">
        <f>IF(ISNUMBER(N236),N236&lt;20,FALSE)</f>
        <v/>
      </c>
      <c r="Q236">
        <f>IF(AND(ISNUMBER(E216),ISNUMBER(E236)),AND(E236&gt;E216,B236&lt;=E236*1.01,B235&gt;E235*1.01),FALSE)</f>
        <v/>
      </c>
      <c r="R236">
        <f>IF(AND(ISNUMBER(F216),ISNUMBER(F236)),AND(F236&gt;F216,B236&lt;=F236*1.01,B235&gt;F235*1.01),FALSE)</f>
        <v/>
      </c>
      <c r="S236">
        <f>IF(ISNUMBER(G236),B236&lt;G236,FALSE)</f>
        <v/>
      </c>
      <c r="T236">
        <f>OR(O236,P236,Q236,R236,S236)</f>
        <v/>
      </c>
    </row>
    <row r="237">
      <c r="A237">
        <f>IF(Prices!A237="","",Prices!A237)</f>
        <v/>
      </c>
      <c r="B237">
        <f>IF(Prices!E237="","",Prices!E237)</f>
        <v/>
      </c>
      <c r="C237">
        <f>IF(Prices!C237="","",Prices!C237)</f>
        <v/>
      </c>
      <c r="D237">
        <f>IF(Prices!D237="","",Prices!D237)</f>
        <v/>
      </c>
      <c r="E237">
        <f>AVERAGE(B188:B237)</f>
        <v/>
      </c>
      <c r="F237">
        <f>AVERAGE(B38:B237)</f>
        <v/>
      </c>
      <c r="G237">
        <f>AVERAGE(B218:B237)-2*STDEV.P(B218:B237)</f>
        <v/>
      </c>
      <c r="H237">
        <f>MAX(B237-B236,0)</f>
        <v/>
      </c>
      <c r="I237">
        <f>MAX(B236-B237,0)</f>
        <v/>
      </c>
      <c r="J237">
        <f>(J236*13+H237)/14</f>
        <v/>
      </c>
      <c r="K237">
        <f>(K236*13+I237)/14</f>
        <v/>
      </c>
      <c r="L237">
        <f>IF(K237=0,100,100-100/(1+J237/K237))</f>
        <v/>
      </c>
      <c r="M237">
        <f>IF(MAX(C224:C237)=MIN(D224:D237),50,100*(B237-MIN(D224:D237))/(MAX(C224:C237)-MIN(D224:D237)))</f>
        <v/>
      </c>
      <c r="N237">
        <f>AVERAGE(M235:M237)</f>
        <v/>
      </c>
      <c r="O237">
        <f>IF(ISNUMBER(L237),L237&lt;30,FALSE)</f>
        <v/>
      </c>
      <c r="P237">
        <f>IF(ISNUMBER(N237),N237&lt;20,FALSE)</f>
        <v/>
      </c>
      <c r="Q237">
        <f>IF(AND(ISNUMBER(E217),ISNUMBER(E237)),AND(E237&gt;E217,B237&lt;=E237*1.01,B236&gt;E236*1.01),FALSE)</f>
        <v/>
      </c>
      <c r="R237">
        <f>IF(AND(ISNUMBER(F217),ISNUMBER(F237)),AND(F237&gt;F217,B237&lt;=F237*1.01,B236&gt;F236*1.01),FALSE)</f>
        <v/>
      </c>
      <c r="S237">
        <f>IF(ISNUMBER(G237),B237&lt;G237,FALSE)</f>
        <v/>
      </c>
      <c r="T237">
        <f>OR(O237,P237,Q237,R237,S237)</f>
        <v/>
      </c>
    </row>
    <row r="238">
      <c r="A238">
        <f>IF(Prices!A238="","",Prices!A238)</f>
        <v/>
      </c>
      <c r="B238">
        <f>IF(Prices!E238="","",Prices!E238)</f>
        <v/>
      </c>
      <c r="C238">
        <f>IF(Prices!C238="","",Prices!C238)</f>
        <v/>
      </c>
      <c r="D238">
        <f>IF(Prices!D238="","",Prices!D238)</f>
        <v/>
      </c>
      <c r="E238">
        <f>AVERAGE(B189:B238)</f>
        <v/>
      </c>
      <c r="F238">
        <f>AVERAGE(B39:B238)</f>
        <v/>
      </c>
      <c r="G238">
        <f>AVERAGE(B219:B238)-2*STDEV.P(B219:B238)</f>
        <v/>
      </c>
      <c r="H238">
        <f>MAX(B238-B237,0)</f>
        <v/>
      </c>
      <c r="I238">
        <f>MAX(B237-B238,0)</f>
        <v/>
      </c>
      <c r="J238">
        <f>(J237*13+H238)/14</f>
        <v/>
      </c>
      <c r="K238">
        <f>(K237*13+I238)/14</f>
        <v/>
      </c>
      <c r="L238">
        <f>IF(K238=0,100,100-100/(1+J238/K238))</f>
        <v/>
      </c>
      <c r="M238">
        <f>IF(MAX(C225:C238)=MIN(D225:D238),50,100*(B238-MIN(D225:D238))/(MAX(C225:C238)-MIN(D225:D238)))</f>
        <v/>
      </c>
      <c r="N238">
        <f>AVERAGE(M236:M238)</f>
        <v/>
      </c>
      <c r="O238">
        <f>IF(ISNUMBER(L238),L238&lt;30,FALSE)</f>
        <v/>
      </c>
      <c r="P238">
        <f>IF(ISNUMBER(N238),N238&lt;20,FALSE)</f>
        <v/>
      </c>
      <c r="Q238">
        <f>IF(AND(ISNUMBER(E218),ISNUMBER(E238)),AND(E238&gt;E218,B238&lt;=E238*1.01,B237&gt;E237*1.01),FALSE)</f>
        <v/>
      </c>
      <c r="R238">
        <f>IF(AND(ISNUMBER(F218),ISNUMBER(F238)),AND(F238&gt;F218,B238&lt;=F238*1.01,B237&gt;F237*1.01),FALSE)</f>
        <v/>
      </c>
      <c r="S238">
        <f>IF(ISNUMBER(G238),B238&lt;G238,FALSE)</f>
        <v/>
      </c>
      <c r="T238">
        <f>OR(O238,P238,Q238,R238,S238)</f>
        <v/>
      </c>
    </row>
    <row r="239">
      <c r="A239">
        <f>IF(Prices!A239="","",Prices!A239)</f>
        <v/>
      </c>
      <c r="B239">
        <f>IF(Prices!E239="","",Prices!E239)</f>
        <v/>
      </c>
      <c r="C239">
        <f>IF(Prices!C239="","",Prices!C239)</f>
        <v/>
      </c>
      <c r="D239">
        <f>IF(Prices!D239="","",Prices!D239)</f>
        <v/>
      </c>
      <c r="E239">
        <f>AVERAGE(B190:B239)</f>
        <v/>
      </c>
      <c r="F239">
        <f>AVERAGE(B40:B239)</f>
        <v/>
      </c>
      <c r="G239">
        <f>AVERAGE(B220:B239)-2*STDEV.P(B220:B239)</f>
        <v/>
      </c>
      <c r="H239">
        <f>MAX(B239-B238,0)</f>
        <v/>
      </c>
      <c r="I239">
        <f>MAX(B238-B239,0)</f>
        <v/>
      </c>
      <c r="J239">
        <f>(J238*13+H239)/14</f>
        <v/>
      </c>
      <c r="K239">
        <f>(K238*13+I239)/14</f>
        <v/>
      </c>
      <c r="L239">
        <f>IF(K239=0,100,100-100/(1+J239/K239))</f>
        <v/>
      </c>
      <c r="M239">
        <f>IF(MAX(C226:C239)=MIN(D226:D239),50,100*(B239-MIN(D226:D239))/(MAX(C226:C239)-MIN(D226:D239)))</f>
        <v/>
      </c>
      <c r="N239">
        <f>AVERAGE(M237:M239)</f>
        <v/>
      </c>
      <c r="O239">
        <f>IF(ISNUMBER(L239),L239&lt;30,FALSE)</f>
        <v/>
      </c>
      <c r="P239">
        <f>IF(ISNUMBER(N239),N239&lt;20,FALSE)</f>
        <v/>
      </c>
      <c r="Q239">
        <f>IF(AND(ISNUMBER(E219),ISNUMBER(E239)),AND(E239&gt;E219,B239&lt;=E239*1.01,B238&gt;E238*1.01),FALSE)</f>
        <v/>
      </c>
      <c r="R239">
        <f>IF(AND(ISNUMBER(F219),ISNUMBER(F239)),AND(F239&gt;F219,B239&lt;=F239*1.01,B238&gt;F238*1.01),FALSE)</f>
        <v/>
      </c>
      <c r="S239">
        <f>IF(ISNUMBER(G239),B239&lt;G239,FALSE)</f>
        <v/>
      </c>
      <c r="T239">
        <f>OR(O239,P239,Q239,R239,S239)</f>
        <v/>
      </c>
    </row>
    <row r="240">
      <c r="A240">
        <f>IF(Prices!A240="","",Prices!A240)</f>
        <v/>
      </c>
      <c r="B240">
        <f>IF(Prices!E240="","",Prices!E240)</f>
        <v/>
      </c>
      <c r="C240">
        <f>IF(Prices!C240="","",Prices!C240)</f>
        <v/>
      </c>
      <c r="D240">
        <f>IF(Prices!D240="","",Prices!D240)</f>
        <v/>
      </c>
      <c r="E240">
        <f>AVERAGE(B191:B240)</f>
        <v/>
      </c>
      <c r="F240">
        <f>AVERAGE(B41:B240)</f>
        <v/>
      </c>
      <c r="G240">
        <f>AVERAGE(B221:B240)-2*STDEV.P(B221:B240)</f>
        <v/>
      </c>
      <c r="H240">
        <f>MAX(B240-B239,0)</f>
        <v/>
      </c>
      <c r="I240">
        <f>MAX(B239-B240,0)</f>
        <v/>
      </c>
      <c r="J240">
        <f>(J239*13+H240)/14</f>
        <v/>
      </c>
      <c r="K240">
        <f>(K239*13+I240)/14</f>
        <v/>
      </c>
      <c r="L240">
        <f>IF(K240=0,100,100-100/(1+J240/K240))</f>
        <v/>
      </c>
      <c r="M240">
        <f>IF(MAX(C227:C240)=MIN(D227:D240),50,100*(B240-MIN(D227:D240))/(MAX(C227:C240)-MIN(D227:D240)))</f>
        <v/>
      </c>
      <c r="N240">
        <f>AVERAGE(M238:M240)</f>
        <v/>
      </c>
      <c r="O240">
        <f>IF(ISNUMBER(L240),L240&lt;30,FALSE)</f>
        <v/>
      </c>
      <c r="P240">
        <f>IF(ISNUMBER(N240),N240&lt;20,FALSE)</f>
        <v/>
      </c>
      <c r="Q240">
        <f>IF(AND(ISNUMBER(E220),ISNUMBER(E240)),AND(E240&gt;E220,B240&lt;=E240*1.01,B239&gt;E239*1.01),FALSE)</f>
        <v/>
      </c>
      <c r="R240">
        <f>IF(AND(ISNUMBER(F220),ISNUMBER(F240)),AND(F240&gt;F220,B240&lt;=F240*1.01,B239&gt;F239*1.01),FALSE)</f>
        <v/>
      </c>
      <c r="S240">
        <f>IF(ISNUMBER(G240),B240&lt;G240,FALSE)</f>
        <v/>
      </c>
      <c r="T240">
        <f>OR(O240,P240,Q240,R240,S240)</f>
        <v/>
      </c>
    </row>
    <row r="241">
      <c r="A241">
        <f>IF(Prices!A241="","",Prices!A241)</f>
        <v/>
      </c>
      <c r="B241">
        <f>IF(Prices!E241="","",Prices!E241)</f>
        <v/>
      </c>
      <c r="C241">
        <f>IF(Prices!C241="","",Prices!C241)</f>
        <v/>
      </c>
      <c r="D241">
        <f>IF(Prices!D241="","",Prices!D241)</f>
        <v/>
      </c>
      <c r="E241">
        <f>AVERAGE(B192:B241)</f>
        <v/>
      </c>
      <c r="F241">
        <f>AVERAGE(B42:B241)</f>
        <v/>
      </c>
      <c r="G241">
        <f>AVERAGE(B222:B241)-2*STDEV.P(B222:B241)</f>
        <v/>
      </c>
      <c r="H241">
        <f>MAX(B241-B240,0)</f>
        <v/>
      </c>
      <c r="I241">
        <f>MAX(B240-B241,0)</f>
        <v/>
      </c>
      <c r="J241">
        <f>(J240*13+H241)/14</f>
        <v/>
      </c>
      <c r="K241">
        <f>(K240*13+I241)/14</f>
        <v/>
      </c>
      <c r="L241">
        <f>IF(K241=0,100,100-100/(1+J241/K241))</f>
        <v/>
      </c>
      <c r="M241">
        <f>IF(MAX(C228:C241)=MIN(D228:D241),50,100*(B241-MIN(D228:D241))/(MAX(C228:C241)-MIN(D228:D241)))</f>
        <v/>
      </c>
      <c r="N241">
        <f>AVERAGE(M239:M241)</f>
        <v/>
      </c>
      <c r="O241">
        <f>IF(ISNUMBER(L241),L241&lt;30,FALSE)</f>
        <v/>
      </c>
      <c r="P241">
        <f>IF(ISNUMBER(N241),N241&lt;20,FALSE)</f>
        <v/>
      </c>
      <c r="Q241">
        <f>IF(AND(ISNUMBER(E221),ISNUMBER(E241)),AND(E241&gt;E221,B241&lt;=E241*1.01,B240&gt;E240*1.01),FALSE)</f>
        <v/>
      </c>
      <c r="R241">
        <f>IF(AND(ISNUMBER(F221),ISNUMBER(F241)),AND(F241&gt;F221,B241&lt;=F241*1.01,B240&gt;F240*1.01),FALSE)</f>
        <v/>
      </c>
      <c r="S241">
        <f>IF(ISNUMBER(G241),B241&lt;G241,FALSE)</f>
        <v/>
      </c>
      <c r="T241">
        <f>OR(O241,P241,Q241,R241,S241)</f>
        <v/>
      </c>
    </row>
    <row r="242">
      <c r="A242">
        <f>IF(Prices!A242="","",Prices!A242)</f>
        <v/>
      </c>
      <c r="B242">
        <f>IF(Prices!E242="","",Prices!E242)</f>
        <v/>
      </c>
      <c r="C242">
        <f>IF(Prices!C242="","",Prices!C242)</f>
        <v/>
      </c>
      <c r="D242">
        <f>IF(Prices!D242="","",Prices!D242)</f>
        <v/>
      </c>
      <c r="E242">
        <f>AVERAGE(B193:B242)</f>
        <v/>
      </c>
      <c r="F242">
        <f>AVERAGE(B43:B242)</f>
        <v/>
      </c>
      <c r="G242">
        <f>AVERAGE(B223:B242)-2*STDEV.P(B223:B242)</f>
        <v/>
      </c>
      <c r="H242">
        <f>MAX(B242-B241,0)</f>
        <v/>
      </c>
      <c r="I242">
        <f>MAX(B241-B242,0)</f>
        <v/>
      </c>
      <c r="J242">
        <f>(J241*13+H242)/14</f>
        <v/>
      </c>
      <c r="K242">
        <f>(K241*13+I242)/14</f>
        <v/>
      </c>
      <c r="L242">
        <f>IF(K242=0,100,100-100/(1+J242/K242))</f>
        <v/>
      </c>
      <c r="M242">
        <f>IF(MAX(C229:C242)=MIN(D229:D242),50,100*(B242-MIN(D229:D242))/(MAX(C229:C242)-MIN(D229:D242)))</f>
        <v/>
      </c>
      <c r="N242">
        <f>AVERAGE(M240:M242)</f>
        <v/>
      </c>
      <c r="O242">
        <f>IF(ISNUMBER(L242),L242&lt;30,FALSE)</f>
        <v/>
      </c>
      <c r="P242">
        <f>IF(ISNUMBER(N242),N242&lt;20,FALSE)</f>
        <v/>
      </c>
      <c r="Q242">
        <f>IF(AND(ISNUMBER(E222),ISNUMBER(E242)),AND(E242&gt;E222,B242&lt;=E242*1.01,B241&gt;E241*1.01),FALSE)</f>
        <v/>
      </c>
      <c r="R242">
        <f>IF(AND(ISNUMBER(F222),ISNUMBER(F242)),AND(F242&gt;F222,B242&lt;=F242*1.01,B241&gt;F241*1.01),FALSE)</f>
        <v/>
      </c>
      <c r="S242">
        <f>IF(ISNUMBER(G242),B242&lt;G242,FALSE)</f>
        <v/>
      </c>
      <c r="T242">
        <f>OR(O242,P242,Q242,R242,S242)</f>
        <v/>
      </c>
    </row>
    <row r="243">
      <c r="A243">
        <f>IF(Prices!A243="","",Prices!A243)</f>
        <v/>
      </c>
      <c r="B243">
        <f>IF(Prices!E243="","",Prices!E243)</f>
        <v/>
      </c>
      <c r="C243">
        <f>IF(Prices!C243="","",Prices!C243)</f>
        <v/>
      </c>
      <c r="D243">
        <f>IF(Prices!D243="","",Prices!D243)</f>
        <v/>
      </c>
      <c r="E243">
        <f>AVERAGE(B194:B243)</f>
        <v/>
      </c>
      <c r="F243">
        <f>AVERAGE(B44:B243)</f>
        <v/>
      </c>
      <c r="G243">
        <f>AVERAGE(B224:B243)-2*STDEV.P(B224:B243)</f>
        <v/>
      </c>
      <c r="H243">
        <f>MAX(B243-B242,0)</f>
        <v/>
      </c>
      <c r="I243">
        <f>MAX(B242-B243,0)</f>
        <v/>
      </c>
      <c r="J243">
        <f>(J242*13+H243)/14</f>
        <v/>
      </c>
      <c r="K243">
        <f>(K242*13+I243)/14</f>
        <v/>
      </c>
      <c r="L243">
        <f>IF(K243=0,100,100-100/(1+J243/K243))</f>
        <v/>
      </c>
      <c r="M243">
        <f>IF(MAX(C230:C243)=MIN(D230:D243),50,100*(B243-MIN(D230:D243))/(MAX(C230:C243)-MIN(D230:D243)))</f>
        <v/>
      </c>
      <c r="N243">
        <f>AVERAGE(M241:M243)</f>
        <v/>
      </c>
      <c r="O243">
        <f>IF(ISNUMBER(L243),L243&lt;30,FALSE)</f>
        <v/>
      </c>
      <c r="P243">
        <f>IF(ISNUMBER(N243),N243&lt;20,FALSE)</f>
        <v/>
      </c>
      <c r="Q243">
        <f>IF(AND(ISNUMBER(E223),ISNUMBER(E243)),AND(E243&gt;E223,B243&lt;=E243*1.01,B242&gt;E242*1.01),FALSE)</f>
        <v/>
      </c>
      <c r="R243">
        <f>IF(AND(ISNUMBER(F223),ISNUMBER(F243)),AND(F243&gt;F223,B243&lt;=F243*1.01,B242&gt;F242*1.01),FALSE)</f>
        <v/>
      </c>
      <c r="S243">
        <f>IF(ISNUMBER(G243),B243&lt;G243,FALSE)</f>
        <v/>
      </c>
      <c r="T243">
        <f>OR(O243,P243,Q243,R243,S243)</f>
        <v/>
      </c>
    </row>
    <row r="244">
      <c r="A244">
        <f>IF(Prices!A244="","",Prices!A244)</f>
        <v/>
      </c>
      <c r="B244">
        <f>IF(Prices!E244="","",Prices!E244)</f>
        <v/>
      </c>
      <c r="C244">
        <f>IF(Prices!C244="","",Prices!C244)</f>
        <v/>
      </c>
      <c r="D244">
        <f>IF(Prices!D244="","",Prices!D244)</f>
        <v/>
      </c>
      <c r="E244">
        <f>AVERAGE(B195:B244)</f>
        <v/>
      </c>
      <c r="F244">
        <f>AVERAGE(B45:B244)</f>
        <v/>
      </c>
      <c r="G244">
        <f>AVERAGE(B225:B244)-2*STDEV.P(B225:B244)</f>
        <v/>
      </c>
      <c r="H244">
        <f>MAX(B244-B243,0)</f>
        <v/>
      </c>
      <c r="I244">
        <f>MAX(B243-B244,0)</f>
        <v/>
      </c>
      <c r="J244">
        <f>(J243*13+H244)/14</f>
        <v/>
      </c>
      <c r="K244">
        <f>(K243*13+I244)/14</f>
        <v/>
      </c>
      <c r="L244">
        <f>IF(K244=0,100,100-100/(1+J244/K244))</f>
        <v/>
      </c>
      <c r="M244">
        <f>IF(MAX(C231:C244)=MIN(D231:D244),50,100*(B244-MIN(D231:D244))/(MAX(C231:C244)-MIN(D231:D244)))</f>
        <v/>
      </c>
      <c r="N244">
        <f>AVERAGE(M242:M244)</f>
        <v/>
      </c>
      <c r="O244">
        <f>IF(ISNUMBER(L244),L244&lt;30,FALSE)</f>
        <v/>
      </c>
      <c r="P244">
        <f>IF(ISNUMBER(N244),N244&lt;20,FALSE)</f>
        <v/>
      </c>
      <c r="Q244">
        <f>IF(AND(ISNUMBER(E224),ISNUMBER(E244)),AND(E244&gt;E224,B244&lt;=E244*1.01,B243&gt;E243*1.01),FALSE)</f>
        <v/>
      </c>
      <c r="R244">
        <f>IF(AND(ISNUMBER(F224),ISNUMBER(F244)),AND(F244&gt;F224,B244&lt;=F244*1.01,B243&gt;F243*1.01),FALSE)</f>
        <v/>
      </c>
      <c r="S244">
        <f>IF(ISNUMBER(G244),B244&lt;G244,FALSE)</f>
        <v/>
      </c>
      <c r="T244">
        <f>OR(O244,P244,Q244,R244,S244)</f>
        <v/>
      </c>
    </row>
    <row r="245">
      <c r="A245">
        <f>IF(Prices!A245="","",Prices!A245)</f>
        <v/>
      </c>
      <c r="B245">
        <f>IF(Prices!E245="","",Prices!E245)</f>
        <v/>
      </c>
      <c r="C245">
        <f>IF(Prices!C245="","",Prices!C245)</f>
        <v/>
      </c>
      <c r="D245">
        <f>IF(Prices!D245="","",Prices!D245)</f>
        <v/>
      </c>
      <c r="E245">
        <f>AVERAGE(B196:B245)</f>
        <v/>
      </c>
      <c r="F245">
        <f>AVERAGE(B46:B245)</f>
        <v/>
      </c>
      <c r="G245">
        <f>AVERAGE(B226:B245)-2*STDEV.P(B226:B245)</f>
        <v/>
      </c>
      <c r="H245">
        <f>MAX(B245-B244,0)</f>
        <v/>
      </c>
      <c r="I245">
        <f>MAX(B244-B245,0)</f>
        <v/>
      </c>
      <c r="J245">
        <f>(J244*13+H245)/14</f>
        <v/>
      </c>
      <c r="K245">
        <f>(K244*13+I245)/14</f>
        <v/>
      </c>
      <c r="L245">
        <f>IF(K245=0,100,100-100/(1+J245/K245))</f>
        <v/>
      </c>
      <c r="M245">
        <f>IF(MAX(C232:C245)=MIN(D232:D245),50,100*(B245-MIN(D232:D245))/(MAX(C232:C245)-MIN(D232:D245)))</f>
        <v/>
      </c>
      <c r="N245">
        <f>AVERAGE(M243:M245)</f>
        <v/>
      </c>
      <c r="O245">
        <f>IF(ISNUMBER(L245),L245&lt;30,FALSE)</f>
        <v/>
      </c>
      <c r="P245">
        <f>IF(ISNUMBER(N245),N245&lt;20,FALSE)</f>
        <v/>
      </c>
      <c r="Q245">
        <f>IF(AND(ISNUMBER(E225),ISNUMBER(E245)),AND(E245&gt;E225,B245&lt;=E245*1.01,B244&gt;E244*1.01),FALSE)</f>
        <v/>
      </c>
      <c r="R245">
        <f>IF(AND(ISNUMBER(F225),ISNUMBER(F245)),AND(F245&gt;F225,B245&lt;=F245*1.01,B244&gt;F244*1.01),FALSE)</f>
        <v/>
      </c>
      <c r="S245">
        <f>IF(ISNUMBER(G245),B245&lt;G245,FALSE)</f>
        <v/>
      </c>
      <c r="T245">
        <f>OR(O245,P245,Q245,R245,S245)</f>
        <v/>
      </c>
    </row>
    <row r="246">
      <c r="A246">
        <f>IF(Prices!A246="","",Prices!A246)</f>
        <v/>
      </c>
      <c r="B246">
        <f>IF(Prices!E246="","",Prices!E246)</f>
        <v/>
      </c>
      <c r="C246">
        <f>IF(Prices!C246="","",Prices!C246)</f>
        <v/>
      </c>
      <c r="D246">
        <f>IF(Prices!D246="","",Prices!D246)</f>
        <v/>
      </c>
      <c r="E246">
        <f>AVERAGE(B197:B246)</f>
        <v/>
      </c>
      <c r="F246">
        <f>AVERAGE(B47:B246)</f>
        <v/>
      </c>
      <c r="G246">
        <f>AVERAGE(B227:B246)-2*STDEV.P(B227:B246)</f>
        <v/>
      </c>
      <c r="H246">
        <f>MAX(B246-B245,0)</f>
        <v/>
      </c>
      <c r="I246">
        <f>MAX(B245-B246,0)</f>
        <v/>
      </c>
      <c r="J246">
        <f>(J245*13+H246)/14</f>
        <v/>
      </c>
      <c r="K246">
        <f>(K245*13+I246)/14</f>
        <v/>
      </c>
      <c r="L246">
        <f>IF(K246=0,100,100-100/(1+J246/K246))</f>
        <v/>
      </c>
      <c r="M246">
        <f>IF(MAX(C233:C246)=MIN(D233:D246),50,100*(B246-MIN(D233:D246))/(MAX(C233:C246)-MIN(D233:D246)))</f>
        <v/>
      </c>
      <c r="N246">
        <f>AVERAGE(M244:M246)</f>
        <v/>
      </c>
      <c r="O246">
        <f>IF(ISNUMBER(L246),L246&lt;30,FALSE)</f>
        <v/>
      </c>
      <c r="P246">
        <f>IF(ISNUMBER(N246),N246&lt;20,FALSE)</f>
        <v/>
      </c>
      <c r="Q246">
        <f>IF(AND(ISNUMBER(E226),ISNUMBER(E246)),AND(E246&gt;E226,B246&lt;=E246*1.01,B245&gt;E245*1.01),FALSE)</f>
        <v/>
      </c>
      <c r="R246">
        <f>IF(AND(ISNUMBER(F226),ISNUMBER(F246)),AND(F246&gt;F226,B246&lt;=F246*1.01,B245&gt;F245*1.01),FALSE)</f>
        <v/>
      </c>
      <c r="S246">
        <f>IF(ISNUMBER(G246),B246&lt;G246,FALSE)</f>
        <v/>
      </c>
      <c r="T246">
        <f>OR(O246,P246,Q246,R246,S246)</f>
        <v/>
      </c>
    </row>
    <row r="247">
      <c r="A247">
        <f>IF(Prices!A247="","",Prices!A247)</f>
        <v/>
      </c>
      <c r="B247">
        <f>IF(Prices!E247="","",Prices!E247)</f>
        <v/>
      </c>
      <c r="C247">
        <f>IF(Prices!C247="","",Prices!C247)</f>
        <v/>
      </c>
      <c r="D247">
        <f>IF(Prices!D247="","",Prices!D247)</f>
        <v/>
      </c>
      <c r="E247">
        <f>AVERAGE(B198:B247)</f>
        <v/>
      </c>
      <c r="F247">
        <f>AVERAGE(B48:B247)</f>
        <v/>
      </c>
      <c r="G247">
        <f>AVERAGE(B228:B247)-2*STDEV.P(B228:B247)</f>
        <v/>
      </c>
      <c r="H247">
        <f>MAX(B247-B246,0)</f>
        <v/>
      </c>
      <c r="I247">
        <f>MAX(B246-B247,0)</f>
        <v/>
      </c>
      <c r="J247">
        <f>(J246*13+H247)/14</f>
        <v/>
      </c>
      <c r="K247">
        <f>(K246*13+I247)/14</f>
        <v/>
      </c>
      <c r="L247">
        <f>IF(K247=0,100,100-100/(1+J247/K247))</f>
        <v/>
      </c>
      <c r="M247">
        <f>IF(MAX(C234:C247)=MIN(D234:D247),50,100*(B247-MIN(D234:D247))/(MAX(C234:C247)-MIN(D234:D247)))</f>
        <v/>
      </c>
      <c r="N247">
        <f>AVERAGE(M245:M247)</f>
        <v/>
      </c>
      <c r="O247">
        <f>IF(ISNUMBER(L247),L247&lt;30,FALSE)</f>
        <v/>
      </c>
      <c r="P247">
        <f>IF(ISNUMBER(N247),N247&lt;20,FALSE)</f>
        <v/>
      </c>
      <c r="Q247">
        <f>IF(AND(ISNUMBER(E227),ISNUMBER(E247)),AND(E247&gt;E227,B247&lt;=E247*1.01,B246&gt;E246*1.01),FALSE)</f>
        <v/>
      </c>
      <c r="R247">
        <f>IF(AND(ISNUMBER(F227),ISNUMBER(F247)),AND(F247&gt;F227,B247&lt;=F247*1.01,B246&gt;F246*1.01),FALSE)</f>
        <v/>
      </c>
      <c r="S247">
        <f>IF(ISNUMBER(G247),B247&lt;G247,FALSE)</f>
        <v/>
      </c>
      <c r="T247">
        <f>OR(O247,P247,Q247,R247,S247)</f>
        <v/>
      </c>
    </row>
    <row r="248">
      <c r="A248">
        <f>IF(Prices!A248="","",Prices!A248)</f>
        <v/>
      </c>
      <c r="B248">
        <f>IF(Prices!E248="","",Prices!E248)</f>
        <v/>
      </c>
      <c r="C248">
        <f>IF(Prices!C248="","",Prices!C248)</f>
        <v/>
      </c>
      <c r="D248">
        <f>IF(Prices!D248="","",Prices!D248)</f>
        <v/>
      </c>
      <c r="E248">
        <f>AVERAGE(B199:B248)</f>
        <v/>
      </c>
      <c r="F248">
        <f>AVERAGE(B49:B248)</f>
        <v/>
      </c>
      <c r="G248">
        <f>AVERAGE(B229:B248)-2*STDEV.P(B229:B248)</f>
        <v/>
      </c>
      <c r="H248">
        <f>MAX(B248-B247,0)</f>
        <v/>
      </c>
      <c r="I248">
        <f>MAX(B247-B248,0)</f>
        <v/>
      </c>
      <c r="J248">
        <f>(J247*13+H248)/14</f>
        <v/>
      </c>
      <c r="K248">
        <f>(K247*13+I248)/14</f>
        <v/>
      </c>
      <c r="L248">
        <f>IF(K248=0,100,100-100/(1+J248/K248))</f>
        <v/>
      </c>
      <c r="M248">
        <f>IF(MAX(C235:C248)=MIN(D235:D248),50,100*(B248-MIN(D235:D248))/(MAX(C235:C248)-MIN(D235:D248)))</f>
        <v/>
      </c>
      <c r="N248">
        <f>AVERAGE(M246:M248)</f>
        <v/>
      </c>
      <c r="O248">
        <f>IF(ISNUMBER(L248),L248&lt;30,FALSE)</f>
        <v/>
      </c>
      <c r="P248">
        <f>IF(ISNUMBER(N248),N248&lt;20,FALSE)</f>
        <v/>
      </c>
      <c r="Q248">
        <f>IF(AND(ISNUMBER(E228),ISNUMBER(E248)),AND(E248&gt;E228,B248&lt;=E248*1.01,B247&gt;E247*1.01),FALSE)</f>
        <v/>
      </c>
      <c r="R248">
        <f>IF(AND(ISNUMBER(F228),ISNUMBER(F248)),AND(F248&gt;F228,B248&lt;=F248*1.01,B247&gt;F247*1.01),FALSE)</f>
        <v/>
      </c>
      <c r="S248">
        <f>IF(ISNUMBER(G248),B248&lt;G248,FALSE)</f>
        <v/>
      </c>
      <c r="T248">
        <f>OR(O248,P248,Q248,R248,S248)</f>
        <v/>
      </c>
    </row>
    <row r="249">
      <c r="A249">
        <f>IF(Prices!A249="","",Prices!A249)</f>
        <v/>
      </c>
      <c r="B249">
        <f>IF(Prices!E249="","",Prices!E249)</f>
        <v/>
      </c>
      <c r="C249">
        <f>IF(Prices!C249="","",Prices!C249)</f>
        <v/>
      </c>
      <c r="D249">
        <f>IF(Prices!D249="","",Prices!D249)</f>
        <v/>
      </c>
      <c r="E249">
        <f>AVERAGE(B200:B249)</f>
        <v/>
      </c>
      <c r="F249">
        <f>AVERAGE(B50:B249)</f>
        <v/>
      </c>
      <c r="G249">
        <f>AVERAGE(B230:B249)-2*STDEV.P(B230:B249)</f>
        <v/>
      </c>
      <c r="H249">
        <f>MAX(B249-B248,0)</f>
        <v/>
      </c>
      <c r="I249">
        <f>MAX(B248-B249,0)</f>
        <v/>
      </c>
      <c r="J249">
        <f>(J248*13+H249)/14</f>
        <v/>
      </c>
      <c r="K249">
        <f>(K248*13+I249)/14</f>
        <v/>
      </c>
      <c r="L249">
        <f>IF(K249=0,100,100-100/(1+J249/K249))</f>
        <v/>
      </c>
      <c r="M249">
        <f>IF(MAX(C236:C249)=MIN(D236:D249),50,100*(B249-MIN(D236:D249))/(MAX(C236:C249)-MIN(D236:D249)))</f>
        <v/>
      </c>
      <c r="N249">
        <f>AVERAGE(M247:M249)</f>
        <v/>
      </c>
      <c r="O249">
        <f>IF(ISNUMBER(L249),L249&lt;30,FALSE)</f>
        <v/>
      </c>
      <c r="P249">
        <f>IF(ISNUMBER(N249),N249&lt;20,FALSE)</f>
        <v/>
      </c>
      <c r="Q249">
        <f>IF(AND(ISNUMBER(E229),ISNUMBER(E249)),AND(E249&gt;E229,B249&lt;=E249*1.01,B248&gt;E248*1.01),FALSE)</f>
        <v/>
      </c>
      <c r="R249">
        <f>IF(AND(ISNUMBER(F229),ISNUMBER(F249)),AND(F249&gt;F229,B249&lt;=F249*1.01,B248&gt;F248*1.01),FALSE)</f>
        <v/>
      </c>
      <c r="S249">
        <f>IF(ISNUMBER(G249),B249&lt;G249,FALSE)</f>
        <v/>
      </c>
      <c r="T249">
        <f>OR(O249,P249,Q249,R249,S249)</f>
        <v/>
      </c>
    </row>
    <row r="250">
      <c r="A250">
        <f>IF(Prices!A250="","",Prices!A250)</f>
        <v/>
      </c>
      <c r="B250">
        <f>IF(Prices!E250="","",Prices!E250)</f>
        <v/>
      </c>
      <c r="C250">
        <f>IF(Prices!C250="","",Prices!C250)</f>
        <v/>
      </c>
      <c r="D250">
        <f>IF(Prices!D250="","",Prices!D250)</f>
        <v/>
      </c>
      <c r="E250">
        <f>AVERAGE(B201:B250)</f>
        <v/>
      </c>
      <c r="F250">
        <f>AVERAGE(B51:B250)</f>
        <v/>
      </c>
      <c r="G250">
        <f>AVERAGE(B231:B250)-2*STDEV.P(B231:B250)</f>
        <v/>
      </c>
      <c r="H250">
        <f>MAX(B250-B249,0)</f>
        <v/>
      </c>
      <c r="I250">
        <f>MAX(B249-B250,0)</f>
        <v/>
      </c>
      <c r="J250">
        <f>(J249*13+H250)/14</f>
        <v/>
      </c>
      <c r="K250">
        <f>(K249*13+I250)/14</f>
        <v/>
      </c>
      <c r="L250">
        <f>IF(K250=0,100,100-100/(1+J250/K250))</f>
        <v/>
      </c>
      <c r="M250">
        <f>IF(MAX(C237:C250)=MIN(D237:D250),50,100*(B250-MIN(D237:D250))/(MAX(C237:C250)-MIN(D237:D250)))</f>
        <v/>
      </c>
      <c r="N250">
        <f>AVERAGE(M248:M250)</f>
        <v/>
      </c>
      <c r="O250">
        <f>IF(ISNUMBER(L250),L250&lt;30,FALSE)</f>
        <v/>
      </c>
      <c r="P250">
        <f>IF(ISNUMBER(N250),N250&lt;20,FALSE)</f>
        <v/>
      </c>
      <c r="Q250">
        <f>IF(AND(ISNUMBER(E230),ISNUMBER(E250)),AND(E250&gt;E230,B250&lt;=E250*1.01,B249&gt;E249*1.01),FALSE)</f>
        <v/>
      </c>
      <c r="R250">
        <f>IF(AND(ISNUMBER(F230),ISNUMBER(F250)),AND(F250&gt;F230,B250&lt;=F250*1.01,B249&gt;F249*1.01),FALSE)</f>
        <v/>
      </c>
      <c r="S250">
        <f>IF(ISNUMBER(G250),B250&lt;G250,FALSE)</f>
        <v/>
      </c>
      <c r="T250">
        <f>OR(O250,P250,Q250,R250,S250)</f>
        <v/>
      </c>
    </row>
    <row r="251">
      <c r="A251">
        <f>IF(Prices!A251="","",Prices!A251)</f>
        <v/>
      </c>
      <c r="B251">
        <f>IF(Prices!E251="","",Prices!E251)</f>
        <v/>
      </c>
      <c r="C251">
        <f>IF(Prices!C251="","",Prices!C251)</f>
        <v/>
      </c>
      <c r="D251">
        <f>IF(Prices!D251="","",Prices!D251)</f>
        <v/>
      </c>
      <c r="E251">
        <f>AVERAGE(B202:B251)</f>
        <v/>
      </c>
      <c r="F251">
        <f>AVERAGE(B52:B251)</f>
        <v/>
      </c>
      <c r="G251">
        <f>AVERAGE(B232:B251)-2*STDEV.P(B232:B251)</f>
        <v/>
      </c>
      <c r="H251">
        <f>MAX(B251-B250,0)</f>
        <v/>
      </c>
      <c r="I251">
        <f>MAX(B250-B251,0)</f>
        <v/>
      </c>
      <c r="J251">
        <f>(J250*13+H251)/14</f>
        <v/>
      </c>
      <c r="K251">
        <f>(K250*13+I251)/14</f>
        <v/>
      </c>
      <c r="L251">
        <f>IF(K251=0,100,100-100/(1+J251/K251))</f>
        <v/>
      </c>
      <c r="M251">
        <f>IF(MAX(C238:C251)=MIN(D238:D251),50,100*(B251-MIN(D238:D251))/(MAX(C238:C251)-MIN(D238:D251)))</f>
        <v/>
      </c>
      <c r="N251">
        <f>AVERAGE(M249:M251)</f>
        <v/>
      </c>
      <c r="O251">
        <f>IF(ISNUMBER(L251),L251&lt;30,FALSE)</f>
        <v/>
      </c>
      <c r="P251">
        <f>IF(ISNUMBER(N251),N251&lt;20,FALSE)</f>
        <v/>
      </c>
      <c r="Q251">
        <f>IF(AND(ISNUMBER(E231),ISNUMBER(E251)),AND(E251&gt;E231,B251&lt;=E251*1.01,B250&gt;E250*1.01),FALSE)</f>
        <v/>
      </c>
      <c r="R251">
        <f>IF(AND(ISNUMBER(F231),ISNUMBER(F251)),AND(F251&gt;F231,B251&lt;=F251*1.01,B250&gt;F250*1.01),FALSE)</f>
        <v/>
      </c>
      <c r="S251">
        <f>IF(ISNUMBER(G251),B251&lt;G251,FALSE)</f>
        <v/>
      </c>
      <c r="T251">
        <f>OR(O251,P251,Q251,R251,S251)</f>
        <v/>
      </c>
    </row>
    <row r="252">
      <c r="A252">
        <f>IF(Prices!A252="","",Prices!A252)</f>
        <v/>
      </c>
      <c r="B252">
        <f>IF(Prices!E252="","",Prices!E252)</f>
        <v/>
      </c>
      <c r="C252">
        <f>IF(Prices!C252="","",Prices!C252)</f>
        <v/>
      </c>
      <c r="D252">
        <f>IF(Prices!D252="","",Prices!D252)</f>
        <v/>
      </c>
      <c r="E252">
        <f>AVERAGE(B203:B252)</f>
        <v/>
      </c>
      <c r="F252">
        <f>AVERAGE(B53:B252)</f>
        <v/>
      </c>
      <c r="G252">
        <f>AVERAGE(B233:B252)-2*STDEV.P(B233:B252)</f>
        <v/>
      </c>
      <c r="H252">
        <f>MAX(B252-B251,0)</f>
        <v/>
      </c>
      <c r="I252">
        <f>MAX(B251-B252,0)</f>
        <v/>
      </c>
      <c r="J252">
        <f>(J251*13+H252)/14</f>
        <v/>
      </c>
      <c r="K252">
        <f>(K251*13+I252)/14</f>
        <v/>
      </c>
      <c r="L252">
        <f>IF(K252=0,100,100-100/(1+J252/K252))</f>
        <v/>
      </c>
      <c r="M252">
        <f>IF(MAX(C239:C252)=MIN(D239:D252),50,100*(B252-MIN(D239:D252))/(MAX(C239:C252)-MIN(D239:D252)))</f>
        <v/>
      </c>
      <c r="N252">
        <f>AVERAGE(M250:M252)</f>
        <v/>
      </c>
      <c r="O252">
        <f>IF(ISNUMBER(L252),L252&lt;30,FALSE)</f>
        <v/>
      </c>
      <c r="P252">
        <f>IF(ISNUMBER(N252),N252&lt;20,FALSE)</f>
        <v/>
      </c>
      <c r="Q252">
        <f>IF(AND(ISNUMBER(E232),ISNUMBER(E252)),AND(E252&gt;E232,B252&lt;=E252*1.01,B251&gt;E251*1.01),FALSE)</f>
        <v/>
      </c>
      <c r="R252">
        <f>IF(AND(ISNUMBER(F232),ISNUMBER(F252)),AND(F252&gt;F232,B252&lt;=F252*1.01,B251&gt;F251*1.01),FALSE)</f>
        <v/>
      </c>
      <c r="S252">
        <f>IF(ISNUMBER(G252),B252&lt;G252,FALSE)</f>
        <v/>
      </c>
      <c r="T252">
        <f>OR(O252,P252,Q252,R252,S252)</f>
        <v/>
      </c>
    </row>
    <row r="253">
      <c r="A253">
        <f>IF(Prices!A253="","",Prices!A253)</f>
        <v/>
      </c>
      <c r="B253">
        <f>IF(Prices!E253="","",Prices!E253)</f>
        <v/>
      </c>
      <c r="C253">
        <f>IF(Prices!C253="","",Prices!C253)</f>
        <v/>
      </c>
      <c r="D253">
        <f>IF(Prices!D253="","",Prices!D253)</f>
        <v/>
      </c>
      <c r="E253">
        <f>AVERAGE(B204:B253)</f>
        <v/>
      </c>
      <c r="F253">
        <f>AVERAGE(B54:B253)</f>
        <v/>
      </c>
      <c r="G253">
        <f>AVERAGE(B234:B253)-2*STDEV.P(B234:B253)</f>
        <v/>
      </c>
      <c r="H253">
        <f>MAX(B253-B252,0)</f>
        <v/>
      </c>
      <c r="I253">
        <f>MAX(B252-B253,0)</f>
        <v/>
      </c>
      <c r="J253">
        <f>(J252*13+H253)/14</f>
        <v/>
      </c>
      <c r="K253">
        <f>(K252*13+I253)/14</f>
        <v/>
      </c>
      <c r="L253">
        <f>IF(K253=0,100,100-100/(1+J253/K253))</f>
        <v/>
      </c>
      <c r="M253">
        <f>IF(MAX(C240:C253)=MIN(D240:D253),50,100*(B253-MIN(D240:D253))/(MAX(C240:C253)-MIN(D240:D253)))</f>
        <v/>
      </c>
      <c r="N253">
        <f>AVERAGE(M251:M253)</f>
        <v/>
      </c>
      <c r="O253">
        <f>IF(ISNUMBER(L253),L253&lt;30,FALSE)</f>
        <v/>
      </c>
      <c r="P253">
        <f>IF(ISNUMBER(N253),N253&lt;20,FALSE)</f>
        <v/>
      </c>
      <c r="Q253">
        <f>IF(AND(ISNUMBER(E233),ISNUMBER(E253)),AND(E253&gt;E233,B253&lt;=E253*1.01,B252&gt;E252*1.01),FALSE)</f>
        <v/>
      </c>
      <c r="R253">
        <f>IF(AND(ISNUMBER(F233),ISNUMBER(F253)),AND(F253&gt;F233,B253&lt;=F253*1.01,B252&gt;F252*1.01),FALSE)</f>
        <v/>
      </c>
      <c r="S253">
        <f>IF(ISNUMBER(G253),B253&lt;G253,FALSE)</f>
        <v/>
      </c>
      <c r="T253">
        <f>OR(O253,P253,Q253,R253,S253)</f>
        <v/>
      </c>
    </row>
    <row r="254">
      <c r="A254">
        <f>IF(Prices!A254="","",Prices!A254)</f>
        <v/>
      </c>
      <c r="B254">
        <f>IF(Prices!E254="","",Prices!E254)</f>
        <v/>
      </c>
      <c r="C254">
        <f>IF(Prices!C254="","",Prices!C254)</f>
        <v/>
      </c>
      <c r="D254">
        <f>IF(Prices!D254="","",Prices!D254)</f>
        <v/>
      </c>
      <c r="E254">
        <f>AVERAGE(B205:B254)</f>
        <v/>
      </c>
      <c r="F254">
        <f>AVERAGE(B55:B254)</f>
        <v/>
      </c>
      <c r="G254">
        <f>AVERAGE(B235:B254)-2*STDEV.P(B235:B254)</f>
        <v/>
      </c>
      <c r="H254">
        <f>MAX(B254-B253,0)</f>
        <v/>
      </c>
      <c r="I254">
        <f>MAX(B253-B254,0)</f>
        <v/>
      </c>
      <c r="J254">
        <f>(J253*13+H254)/14</f>
        <v/>
      </c>
      <c r="K254">
        <f>(K253*13+I254)/14</f>
        <v/>
      </c>
      <c r="L254">
        <f>IF(K254=0,100,100-100/(1+J254/K254))</f>
        <v/>
      </c>
      <c r="M254">
        <f>IF(MAX(C241:C254)=MIN(D241:D254),50,100*(B254-MIN(D241:D254))/(MAX(C241:C254)-MIN(D241:D254)))</f>
        <v/>
      </c>
      <c r="N254">
        <f>AVERAGE(M252:M254)</f>
        <v/>
      </c>
      <c r="O254">
        <f>IF(ISNUMBER(L254),L254&lt;30,FALSE)</f>
        <v/>
      </c>
      <c r="P254">
        <f>IF(ISNUMBER(N254),N254&lt;20,FALSE)</f>
        <v/>
      </c>
      <c r="Q254">
        <f>IF(AND(ISNUMBER(E234),ISNUMBER(E254)),AND(E254&gt;E234,B254&lt;=E254*1.01,B253&gt;E253*1.01),FALSE)</f>
        <v/>
      </c>
      <c r="R254">
        <f>IF(AND(ISNUMBER(F234),ISNUMBER(F254)),AND(F254&gt;F234,B254&lt;=F254*1.01,B253&gt;F253*1.01),FALSE)</f>
        <v/>
      </c>
      <c r="S254">
        <f>IF(ISNUMBER(G254),B254&lt;G254,FALSE)</f>
        <v/>
      </c>
      <c r="T254">
        <f>OR(O254,P254,Q254,R254,S254)</f>
        <v/>
      </c>
    </row>
    <row r="255">
      <c r="A255">
        <f>IF(Prices!A255="","",Prices!A255)</f>
        <v/>
      </c>
      <c r="B255">
        <f>IF(Prices!E255="","",Prices!E255)</f>
        <v/>
      </c>
      <c r="C255">
        <f>IF(Prices!C255="","",Prices!C255)</f>
        <v/>
      </c>
      <c r="D255">
        <f>IF(Prices!D255="","",Prices!D255)</f>
        <v/>
      </c>
      <c r="E255">
        <f>AVERAGE(B206:B255)</f>
        <v/>
      </c>
      <c r="F255">
        <f>AVERAGE(B56:B255)</f>
        <v/>
      </c>
      <c r="G255">
        <f>AVERAGE(B236:B255)-2*STDEV.P(B236:B255)</f>
        <v/>
      </c>
      <c r="H255">
        <f>MAX(B255-B254,0)</f>
        <v/>
      </c>
      <c r="I255">
        <f>MAX(B254-B255,0)</f>
        <v/>
      </c>
      <c r="J255">
        <f>(J254*13+H255)/14</f>
        <v/>
      </c>
      <c r="K255">
        <f>(K254*13+I255)/14</f>
        <v/>
      </c>
      <c r="L255">
        <f>IF(K255=0,100,100-100/(1+J255/K255))</f>
        <v/>
      </c>
      <c r="M255">
        <f>IF(MAX(C242:C255)=MIN(D242:D255),50,100*(B255-MIN(D242:D255))/(MAX(C242:C255)-MIN(D242:D255)))</f>
        <v/>
      </c>
      <c r="N255">
        <f>AVERAGE(M253:M255)</f>
        <v/>
      </c>
      <c r="O255">
        <f>IF(ISNUMBER(L255),L255&lt;30,FALSE)</f>
        <v/>
      </c>
      <c r="P255">
        <f>IF(ISNUMBER(N255),N255&lt;20,FALSE)</f>
        <v/>
      </c>
      <c r="Q255">
        <f>IF(AND(ISNUMBER(E235),ISNUMBER(E255)),AND(E255&gt;E235,B255&lt;=E255*1.01,B254&gt;E254*1.01),FALSE)</f>
        <v/>
      </c>
      <c r="R255">
        <f>IF(AND(ISNUMBER(F235),ISNUMBER(F255)),AND(F255&gt;F235,B255&lt;=F255*1.01,B254&gt;F254*1.01),FALSE)</f>
        <v/>
      </c>
      <c r="S255">
        <f>IF(ISNUMBER(G255),B255&lt;G255,FALSE)</f>
        <v/>
      </c>
      <c r="T255">
        <f>OR(O255,P255,Q255,R255,S255)</f>
        <v/>
      </c>
    </row>
    <row r="256">
      <c r="A256">
        <f>IF(Prices!A256="","",Prices!A256)</f>
        <v/>
      </c>
      <c r="B256">
        <f>IF(Prices!E256="","",Prices!E256)</f>
        <v/>
      </c>
      <c r="C256">
        <f>IF(Prices!C256="","",Prices!C256)</f>
        <v/>
      </c>
      <c r="D256">
        <f>IF(Prices!D256="","",Prices!D256)</f>
        <v/>
      </c>
      <c r="E256">
        <f>AVERAGE(B207:B256)</f>
        <v/>
      </c>
      <c r="F256">
        <f>AVERAGE(B57:B256)</f>
        <v/>
      </c>
      <c r="G256">
        <f>AVERAGE(B237:B256)-2*STDEV.P(B237:B256)</f>
        <v/>
      </c>
      <c r="H256">
        <f>MAX(B256-B255,0)</f>
        <v/>
      </c>
      <c r="I256">
        <f>MAX(B255-B256,0)</f>
        <v/>
      </c>
      <c r="J256">
        <f>(J255*13+H256)/14</f>
        <v/>
      </c>
      <c r="K256">
        <f>(K255*13+I256)/14</f>
        <v/>
      </c>
      <c r="L256">
        <f>IF(K256=0,100,100-100/(1+J256/K256))</f>
        <v/>
      </c>
      <c r="M256">
        <f>IF(MAX(C243:C256)=MIN(D243:D256),50,100*(B256-MIN(D243:D256))/(MAX(C243:C256)-MIN(D243:D256)))</f>
        <v/>
      </c>
      <c r="N256">
        <f>AVERAGE(M254:M256)</f>
        <v/>
      </c>
      <c r="O256">
        <f>IF(ISNUMBER(L256),L256&lt;30,FALSE)</f>
        <v/>
      </c>
      <c r="P256">
        <f>IF(ISNUMBER(N256),N256&lt;20,FALSE)</f>
        <v/>
      </c>
      <c r="Q256">
        <f>IF(AND(ISNUMBER(E236),ISNUMBER(E256)),AND(E256&gt;E236,B256&lt;=E256*1.01,B255&gt;E255*1.01),FALSE)</f>
        <v/>
      </c>
      <c r="R256">
        <f>IF(AND(ISNUMBER(F236),ISNUMBER(F256)),AND(F256&gt;F236,B256&lt;=F256*1.01,B255&gt;F255*1.01),FALSE)</f>
        <v/>
      </c>
      <c r="S256">
        <f>IF(ISNUMBER(G256),B256&lt;G256,FALSE)</f>
        <v/>
      </c>
      <c r="T256">
        <f>OR(O256,P256,Q256,R256,S256)</f>
        <v/>
      </c>
    </row>
    <row r="257">
      <c r="A257">
        <f>IF(Prices!A257="","",Prices!A257)</f>
        <v/>
      </c>
      <c r="B257">
        <f>IF(Prices!E257="","",Prices!E257)</f>
        <v/>
      </c>
      <c r="C257">
        <f>IF(Prices!C257="","",Prices!C257)</f>
        <v/>
      </c>
      <c r="D257">
        <f>IF(Prices!D257="","",Prices!D257)</f>
        <v/>
      </c>
      <c r="E257">
        <f>AVERAGE(B208:B257)</f>
        <v/>
      </c>
      <c r="F257">
        <f>AVERAGE(B58:B257)</f>
        <v/>
      </c>
      <c r="G257">
        <f>AVERAGE(B238:B257)-2*STDEV.P(B238:B257)</f>
        <v/>
      </c>
      <c r="H257">
        <f>MAX(B257-B256,0)</f>
        <v/>
      </c>
      <c r="I257">
        <f>MAX(B256-B257,0)</f>
        <v/>
      </c>
      <c r="J257">
        <f>(J256*13+H257)/14</f>
        <v/>
      </c>
      <c r="K257">
        <f>(K256*13+I257)/14</f>
        <v/>
      </c>
      <c r="L257">
        <f>IF(K257=0,100,100-100/(1+J257/K257))</f>
        <v/>
      </c>
      <c r="M257">
        <f>IF(MAX(C244:C257)=MIN(D244:D257),50,100*(B257-MIN(D244:D257))/(MAX(C244:C257)-MIN(D244:D257)))</f>
        <v/>
      </c>
      <c r="N257">
        <f>AVERAGE(M255:M257)</f>
        <v/>
      </c>
      <c r="O257">
        <f>IF(ISNUMBER(L257),L257&lt;30,FALSE)</f>
        <v/>
      </c>
      <c r="P257">
        <f>IF(ISNUMBER(N257),N257&lt;20,FALSE)</f>
        <v/>
      </c>
      <c r="Q257">
        <f>IF(AND(ISNUMBER(E237),ISNUMBER(E257)),AND(E257&gt;E237,B257&lt;=E257*1.01,B256&gt;E256*1.01),FALSE)</f>
        <v/>
      </c>
      <c r="R257">
        <f>IF(AND(ISNUMBER(F237),ISNUMBER(F257)),AND(F257&gt;F237,B257&lt;=F257*1.01,B256&gt;F256*1.01),FALSE)</f>
        <v/>
      </c>
      <c r="S257">
        <f>IF(ISNUMBER(G257),B257&lt;G257,FALSE)</f>
        <v/>
      </c>
      <c r="T257">
        <f>OR(O257,P257,Q257,R257,S257)</f>
        <v/>
      </c>
    </row>
    <row r="258">
      <c r="A258">
        <f>IF(Prices!A258="","",Prices!A258)</f>
        <v/>
      </c>
      <c r="B258">
        <f>IF(Prices!E258="","",Prices!E258)</f>
        <v/>
      </c>
      <c r="C258">
        <f>IF(Prices!C258="","",Prices!C258)</f>
        <v/>
      </c>
      <c r="D258">
        <f>IF(Prices!D258="","",Prices!D258)</f>
        <v/>
      </c>
      <c r="E258">
        <f>AVERAGE(B209:B258)</f>
        <v/>
      </c>
      <c r="F258">
        <f>AVERAGE(B59:B258)</f>
        <v/>
      </c>
      <c r="G258">
        <f>AVERAGE(B239:B258)-2*STDEV.P(B239:B258)</f>
        <v/>
      </c>
      <c r="H258">
        <f>MAX(B258-B257,0)</f>
        <v/>
      </c>
      <c r="I258">
        <f>MAX(B257-B258,0)</f>
        <v/>
      </c>
      <c r="J258">
        <f>(J257*13+H258)/14</f>
        <v/>
      </c>
      <c r="K258">
        <f>(K257*13+I258)/14</f>
        <v/>
      </c>
      <c r="L258">
        <f>IF(K258=0,100,100-100/(1+J258/K258))</f>
        <v/>
      </c>
      <c r="M258">
        <f>IF(MAX(C245:C258)=MIN(D245:D258),50,100*(B258-MIN(D245:D258))/(MAX(C245:C258)-MIN(D245:D258)))</f>
        <v/>
      </c>
      <c r="N258">
        <f>AVERAGE(M256:M258)</f>
        <v/>
      </c>
      <c r="O258">
        <f>IF(ISNUMBER(L258),L258&lt;30,FALSE)</f>
        <v/>
      </c>
      <c r="P258">
        <f>IF(ISNUMBER(N258),N258&lt;20,FALSE)</f>
        <v/>
      </c>
      <c r="Q258">
        <f>IF(AND(ISNUMBER(E238),ISNUMBER(E258)),AND(E258&gt;E238,B258&lt;=E258*1.01,B257&gt;E257*1.01),FALSE)</f>
        <v/>
      </c>
      <c r="R258">
        <f>IF(AND(ISNUMBER(F238),ISNUMBER(F258)),AND(F258&gt;F238,B258&lt;=F258*1.01,B257&gt;F257*1.01),FALSE)</f>
        <v/>
      </c>
      <c r="S258">
        <f>IF(ISNUMBER(G258),B258&lt;G258,FALSE)</f>
        <v/>
      </c>
      <c r="T258">
        <f>OR(O258,P258,Q258,R258,S258)</f>
        <v/>
      </c>
    </row>
    <row r="259">
      <c r="A259">
        <f>IF(Prices!A259="","",Prices!A259)</f>
        <v/>
      </c>
      <c r="B259">
        <f>IF(Prices!E259="","",Prices!E259)</f>
        <v/>
      </c>
      <c r="C259">
        <f>IF(Prices!C259="","",Prices!C259)</f>
        <v/>
      </c>
      <c r="D259">
        <f>IF(Prices!D259="","",Prices!D259)</f>
        <v/>
      </c>
      <c r="E259">
        <f>AVERAGE(B210:B259)</f>
        <v/>
      </c>
      <c r="F259">
        <f>AVERAGE(B60:B259)</f>
        <v/>
      </c>
      <c r="G259">
        <f>AVERAGE(B240:B259)-2*STDEV.P(B240:B259)</f>
        <v/>
      </c>
      <c r="H259">
        <f>MAX(B259-B258,0)</f>
        <v/>
      </c>
      <c r="I259">
        <f>MAX(B258-B259,0)</f>
        <v/>
      </c>
      <c r="J259">
        <f>(J258*13+H259)/14</f>
        <v/>
      </c>
      <c r="K259">
        <f>(K258*13+I259)/14</f>
        <v/>
      </c>
      <c r="L259">
        <f>IF(K259=0,100,100-100/(1+J259/K259))</f>
        <v/>
      </c>
      <c r="M259">
        <f>IF(MAX(C246:C259)=MIN(D246:D259),50,100*(B259-MIN(D246:D259))/(MAX(C246:C259)-MIN(D246:D259)))</f>
        <v/>
      </c>
      <c r="N259">
        <f>AVERAGE(M257:M259)</f>
        <v/>
      </c>
      <c r="O259">
        <f>IF(ISNUMBER(L259),L259&lt;30,FALSE)</f>
        <v/>
      </c>
      <c r="P259">
        <f>IF(ISNUMBER(N259),N259&lt;20,FALSE)</f>
        <v/>
      </c>
      <c r="Q259">
        <f>IF(AND(ISNUMBER(E239),ISNUMBER(E259)),AND(E259&gt;E239,B259&lt;=E259*1.01,B258&gt;E258*1.01),FALSE)</f>
        <v/>
      </c>
      <c r="R259">
        <f>IF(AND(ISNUMBER(F239),ISNUMBER(F259)),AND(F259&gt;F239,B259&lt;=F259*1.01,B258&gt;F258*1.01),FALSE)</f>
        <v/>
      </c>
      <c r="S259">
        <f>IF(ISNUMBER(G259),B259&lt;G259,FALSE)</f>
        <v/>
      </c>
      <c r="T259">
        <f>OR(O259,P259,Q259,R259,S259)</f>
        <v/>
      </c>
    </row>
    <row r="260">
      <c r="A260">
        <f>IF(Prices!A260="","",Prices!A260)</f>
        <v/>
      </c>
      <c r="B260">
        <f>IF(Prices!E260="","",Prices!E260)</f>
        <v/>
      </c>
      <c r="C260">
        <f>IF(Prices!C260="","",Prices!C260)</f>
        <v/>
      </c>
      <c r="D260">
        <f>IF(Prices!D260="","",Prices!D260)</f>
        <v/>
      </c>
      <c r="E260">
        <f>AVERAGE(B211:B260)</f>
        <v/>
      </c>
      <c r="F260">
        <f>AVERAGE(B61:B260)</f>
        <v/>
      </c>
      <c r="G260">
        <f>AVERAGE(B241:B260)-2*STDEV.P(B241:B260)</f>
        <v/>
      </c>
      <c r="H260">
        <f>MAX(B260-B259,0)</f>
        <v/>
      </c>
      <c r="I260">
        <f>MAX(B259-B260,0)</f>
        <v/>
      </c>
      <c r="J260">
        <f>(J259*13+H260)/14</f>
        <v/>
      </c>
      <c r="K260">
        <f>(K259*13+I260)/14</f>
        <v/>
      </c>
      <c r="L260">
        <f>IF(K260=0,100,100-100/(1+J260/K260))</f>
        <v/>
      </c>
      <c r="M260">
        <f>IF(MAX(C247:C260)=MIN(D247:D260),50,100*(B260-MIN(D247:D260))/(MAX(C247:C260)-MIN(D247:D260)))</f>
        <v/>
      </c>
      <c r="N260">
        <f>AVERAGE(M258:M260)</f>
        <v/>
      </c>
      <c r="O260">
        <f>IF(ISNUMBER(L260),L260&lt;30,FALSE)</f>
        <v/>
      </c>
      <c r="P260">
        <f>IF(ISNUMBER(N260),N260&lt;20,FALSE)</f>
        <v/>
      </c>
      <c r="Q260">
        <f>IF(AND(ISNUMBER(E240),ISNUMBER(E260)),AND(E260&gt;E240,B260&lt;=E260*1.01,B259&gt;E259*1.01),FALSE)</f>
        <v/>
      </c>
      <c r="R260">
        <f>IF(AND(ISNUMBER(F240),ISNUMBER(F260)),AND(F260&gt;F240,B260&lt;=F260*1.01,B259&gt;F259*1.01),FALSE)</f>
        <v/>
      </c>
      <c r="S260">
        <f>IF(ISNUMBER(G260),B260&lt;G260,FALSE)</f>
        <v/>
      </c>
      <c r="T260">
        <f>OR(O260,P260,Q260,R260,S260)</f>
        <v/>
      </c>
    </row>
    <row r="261">
      <c r="A261">
        <f>IF(Prices!A261="","",Prices!A261)</f>
        <v/>
      </c>
      <c r="B261">
        <f>IF(Prices!E261="","",Prices!E261)</f>
        <v/>
      </c>
      <c r="C261">
        <f>IF(Prices!C261="","",Prices!C261)</f>
        <v/>
      </c>
      <c r="D261">
        <f>IF(Prices!D261="","",Prices!D261)</f>
        <v/>
      </c>
      <c r="E261">
        <f>AVERAGE(B212:B261)</f>
        <v/>
      </c>
      <c r="F261">
        <f>AVERAGE(B62:B261)</f>
        <v/>
      </c>
      <c r="G261">
        <f>AVERAGE(B242:B261)-2*STDEV.P(B242:B261)</f>
        <v/>
      </c>
      <c r="H261">
        <f>MAX(B261-B260,0)</f>
        <v/>
      </c>
      <c r="I261">
        <f>MAX(B260-B261,0)</f>
        <v/>
      </c>
      <c r="J261">
        <f>(J260*13+H261)/14</f>
        <v/>
      </c>
      <c r="K261">
        <f>(K260*13+I261)/14</f>
        <v/>
      </c>
      <c r="L261">
        <f>IF(K261=0,100,100-100/(1+J261/K261))</f>
        <v/>
      </c>
      <c r="M261">
        <f>IF(MAX(C248:C261)=MIN(D248:D261),50,100*(B261-MIN(D248:D261))/(MAX(C248:C261)-MIN(D248:D261)))</f>
        <v/>
      </c>
      <c r="N261">
        <f>AVERAGE(M259:M261)</f>
        <v/>
      </c>
      <c r="O261">
        <f>IF(ISNUMBER(L261),L261&lt;30,FALSE)</f>
        <v/>
      </c>
      <c r="P261">
        <f>IF(ISNUMBER(N261),N261&lt;20,FALSE)</f>
        <v/>
      </c>
      <c r="Q261">
        <f>IF(AND(ISNUMBER(E241),ISNUMBER(E261)),AND(E261&gt;E241,B261&lt;=E261*1.01,B260&gt;E260*1.01),FALSE)</f>
        <v/>
      </c>
      <c r="R261">
        <f>IF(AND(ISNUMBER(F241),ISNUMBER(F261)),AND(F261&gt;F241,B261&lt;=F261*1.01,B260&gt;F260*1.01),FALSE)</f>
        <v/>
      </c>
      <c r="S261">
        <f>IF(ISNUMBER(G261),B261&lt;G261,FALSE)</f>
        <v/>
      </c>
      <c r="T261">
        <f>OR(O261,P261,Q261,R261,S261)</f>
        <v/>
      </c>
    </row>
    <row r="262">
      <c r="A262">
        <f>IF(Prices!A262="","",Prices!A262)</f>
        <v/>
      </c>
      <c r="B262">
        <f>IF(Prices!E262="","",Prices!E262)</f>
        <v/>
      </c>
      <c r="C262">
        <f>IF(Prices!C262="","",Prices!C262)</f>
        <v/>
      </c>
      <c r="D262">
        <f>IF(Prices!D262="","",Prices!D262)</f>
        <v/>
      </c>
      <c r="E262">
        <f>AVERAGE(B213:B262)</f>
        <v/>
      </c>
      <c r="F262">
        <f>AVERAGE(B63:B262)</f>
        <v/>
      </c>
      <c r="G262">
        <f>AVERAGE(B243:B262)-2*STDEV.P(B243:B262)</f>
        <v/>
      </c>
      <c r="H262">
        <f>MAX(B262-B261,0)</f>
        <v/>
      </c>
      <c r="I262">
        <f>MAX(B261-B262,0)</f>
        <v/>
      </c>
      <c r="J262">
        <f>(J261*13+H262)/14</f>
        <v/>
      </c>
      <c r="K262">
        <f>(K261*13+I262)/14</f>
        <v/>
      </c>
      <c r="L262">
        <f>IF(K262=0,100,100-100/(1+J262/K262))</f>
        <v/>
      </c>
      <c r="M262">
        <f>IF(MAX(C249:C262)=MIN(D249:D262),50,100*(B262-MIN(D249:D262))/(MAX(C249:C262)-MIN(D249:D262)))</f>
        <v/>
      </c>
      <c r="N262">
        <f>AVERAGE(M260:M262)</f>
        <v/>
      </c>
      <c r="O262">
        <f>IF(ISNUMBER(L262),L262&lt;30,FALSE)</f>
        <v/>
      </c>
      <c r="P262">
        <f>IF(ISNUMBER(N262),N262&lt;20,FALSE)</f>
        <v/>
      </c>
      <c r="Q262">
        <f>IF(AND(ISNUMBER(E242),ISNUMBER(E262)),AND(E262&gt;E242,B262&lt;=E262*1.01,B261&gt;E261*1.01),FALSE)</f>
        <v/>
      </c>
      <c r="R262">
        <f>IF(AND(ISNUMBER(F242),ISNUMBER(F262)),AND(F262&gt;F242,B262&lt;=F262*1.01,B261&gt;F261*1.01),FALSE)</f>
        <v/>
      </c>
      <c r="S262">
        <f>IF(ISNUMBER(G262),B262&lt;G262,FALSE)</f>
        <v/>
      </c>
      <c r="T262">
        <f>OR(O262,P262,Q262,R262,S262)</f>
        <v/>
      </c>
    </row>
    <row r="263">
      <c r="A263">
        <f>IF(Prices!A263="","",Prices!A263)</f>
        <v/>
      </c>
      <c r="B263">
        <f>IF(Prices!E263="","",Prices!E263)</f>
        <v/>
      </c>
      <c r="C263">
        <f>IF(Prices!C263="","",Prices!C263)</f>
        <v/>
      </c>
      <c r="D263">
        <f>IF(Prices!D263="","",Prices!D263)</f>
        <v/>
      </c>
      <c r="E263">
        <f>AVERAGE(B214:B263)</f>
        <v/>
      </c>
      <c r="F263">
        <f>AVERAGE(B64:B263)</f>
        <v/>
      </c>
      <c r="G263">
        <f>AVERAGE(B244:B263)-2*STDEV.P(B244:B263)</f>
        <v/>
      </c>
      <c r="H263">
        <f>MAX(B263-B262,0)</f>
        <v/>
      </c>
      <c r="I263">
        <f>MAX(B262-B263,0)</f>
        <v/>
      </c>
      <c r="J263">
        <f>(J262*13+H263)/14</f>
        <v/>
      </c>
      <c r="K263">
        <f>(K262*13+I263)/14</f>
        <v/>
      </c>
      <c r="L263">
        <f>IF(K263=0,100,100-100/(1+J263/K263))</f>
        <v/>
      </c>
      <c r="M263">
        <f>IF(MAX(C250:C263)=MIN(D250:D263),50,100*(B263-MIN(D250:D263))/(MAX(C250:C263)-MIN(D250:D263)))</f>
        <v/>
      </c>
      <c r="N263">
        <f>AVERAGE(M261:M263)</f>
        <v/>
      </c>
      <c r="O263">
        <f>IF(ISNUMBER(L263),L263&lt;30,FALSE)</f>
        <v/>
      </c>
      <c r="P263">
        <f>IF(ISNUMBER(N263),N263&lt;20,FALSE)</f>
        <v/>
      </c>
      <c r="Q263">
        <f>IF(AND(ISNUMBER(E243),ISNUMBER(E263)),AND(E263&gt;E243,B263&lt;=E263*1.01,B262&gt;E262*1.01),FALSE)</f>
        <v/>
      </c>
      <c r="R263">
        <f>IF(AND(ISNUMBER(F243),ISNUMBER(F263)),AND(F263&gt;F243,B263&lt;=F263*1.01,B262&gt;F262*1.01),FALSE)</f>
        <v/>
      </c>
      <c r="S263">
        <f>IF(ISNUMBER(G263),B263&lt;G263,FALSE)</f>
        <v/>
      </c>
      <c r="T263">
        <f>OR(O263,P263,Q263,R263,S263)</f>
        <v/>
      </c>
    </row>
    <row r="264">
      <c r="A264">
        <f>IF(Prices!A264="","",Prices!A264)</f>
        <v/>
      </c>
      <c r="B264">
        <f>IF(Prices!E264="","",Prices!E264)</f>
        <v/>
      </c>
      <c r="C264">
        <f>IF(Prices!C264="","",Prices!C264)</f>
        <v/>
      </c>
      <c r="D264">
        <f>IF(Prices!D264="","",Prices!D264)</f>
        <v/>
      </c>
      <c r="E264">
        <f>AVERAGE(B215:B264)</f>
        <v/>
      </c>
      <c r="F264">
        <f>AVERAGE(B65:B264)</f>
        <v/>
      </c>
      <c r="G264">
        <f>AVERAGE(B245:B264)-2*STDEV.P(B245:B264)</f>
        <v/>
      </c>
      <c r="H264">
        <f>MAX(B264-B263,0)</f>
        <v/>
      </c>
      <c r="I264">
        <f>MAX(B263-B264,0)</f>
        <v/>
      </c>
      <c r="J264">
        <f>(J263*13+H264)/14</f>
        <v/>
      </c>
      <c r="K264">
        <f>(K263*13+I264)/14</f>
        <v/>
      </c>
      <c r="L264">
        <f>IF(K264=0,100,100-100/(1+J264/K264))</f>
        <v/>
      </c>
      <c r="M264">
        <f>IF(MAX(C251:C264)=MIN(D251:D264),50,100*(B264-MIN(D251:D264))/(MAX(C251:C264)-MIN(D251:D264)))</f>
        <v/>
      </c>
      <c r="N264">
        <f>AVERAGE(M262:M264)</f>
        <v/>
      </c>
      <c r="O264">
        <f>IF(ISNUMBER(L264),L264&lt;30,FALSE)</f>
        <v/>
      </c>
      <c r="P264">
        <f>IF(ISNUMBER(N264),N264&lt;20,FALSE)</f>
        <v/>
      </c>
      <c r="Q264">
        <f>IF(AND(ISNUMBER(E244),ISNUMBER(E264)),AND(E264&gt;E244,B264&lt;=E264*1.01,B263&gt;E263*1.01),FALSE)</f>
        <v/>
      </c>
      <c r="R264">
        <f>IF(AND(ISNUMBER(F244),ISNUMBER(F264)),AND(F264&gt;F244,B264&lt;=F264*1.01,B263&gt;F263*1.01),FALSE)</f>
        <v/>
      </c>
      <c r="S264">
        <f>IF(ISNUMBER(G264),B264&lt;G264,FALSE)</f>
        <v/>
      </c>
      <c r="T264">
        <f>OR(O264,P264,Q264,R264,S264)</f>
        <v/>
      </c>
    </row>
    <row r="265">
      <c r="A265">
        <f>IF(Prices!A265="","",Prices!A265)</f>
        <v/>
      </c>
      <c r="B265">
        <f>IF(Prices!E265="","",Prices!E265)</f>
        <v/>
      </c>
      <c r="C265">
        <f>IF(Prices!C265="","",Prices!C265)</f>
        <v/>
      </c>
      <c r="D265">
        <f>IF(Prices!D265="","",Prices!D265)</f>
        <v/>
      </c>
      <c r="E265">
        <f>AVERAGE(B216:B265)</f>
        <v/>
      </c>
      <c r="F265">
        <f>AVERAGE(B66:B265)</f>
        <v/>
      </c>
      <c r="G265">
        <f>AVERAGE(B246:B265)-2*STDEV.P(B246:B265)</f>
        <v/>
      </c>
      <c r="H265">
        <f>MAX(B265-B264,0)</f>
        <v/>
      </c>
      <c r="I265">
        <f>MAX(B264-B265,0)</f>
        <v/>
      </c>
      <c r="J265">
        <f>(J264*13+H265)/14</f>
        <v/>
      </c>
      <c r="K265">
        <f>(K264*13+I265)/14</f>
        <v/>
      </c>
      <c r="L265">
        <f>IF(K265=0,100,100-100/(1+J265/K265))</f>
        <v/>
      </c>
      <c r="M265">
        <f>IF(MAX(C252:C265)=MIN(D252:D265),50,100*(B265-MIN(D252:D265))/(MAX(C252:C265)-MIN(D252:D265)))</f>
        <v/>
      </c>
      <c r="N265">
        <f>AVERAGE(M263:M265)</f>
        <v/>
      </c>
      <c r="O265">
        <f>IF(ISNUMBER(L265),L265&lt;30,FALSE)</f>
        <v/>
      </c>
      <c r="P265">
        <f>IF(ISNUMBER(N265),N265&lt;20,FALSE)</f>
        <v/>
      </c>
      <c r="Q265">
        <f>IF(AND(ISNUMBER(E245),ISNUMBER(E265)),AND(E265&gt;E245,B265&lt;=E265*1.01,B264&gt;E264*1.01),FALSE)</f>
        <v/>
      </c>
      <c r="R265">
        <f>IF(AND(ISNUMBER(F245),ISNUMBER(F265)),AND(F265&gt;F245,B265&lt;=F265*1.01,B264&gt;F264*1.01),FALSE)</f>
        <v/>
      </c>
      <c r="S265">
        <f>IF(ISNUMBER(G265),B265&lt;G265,FALSE)</f>
        <v/>
      </c>
      <c r="T265">
        <f>OR(O265,P265,Q265,R265,S265)</f>
        <v/>
      </c>
    </row>
    <row r="266">
      <c r="A266">
        <f>IF(Prices!A266="","",Prices!A266)</f>
        <v/>
      </c>
      <c r="B266">
        <f>IF(Prices!E266="","",Prices!E266)</f>
        <v/>
      </c>
      <c r="C266">
        <f>IF(Prices!C266="","",Prices!C266)</f>
        <v/>
      </c>
      <c r="D266">
        <f>IF(Prices!D266="","",Prices!D266)</f>
        <v/>
      </c>
      <c r="E266">
        <f>AVERAGE(B217:B266)</f>
        <v/>
      </c>
      <c r="F266">
        <f>AVERAGE(B67:B266)</f>
        <v/>
      </c>
      <c r="G266">
        <f>AVERAGE(B247:B266)-2*STDEV.P(B247:B266)</f>
        <v/>
      </c>
      <c r="H266">
        <f>MAX(B266-B265,0)</f>
        <v/>
      </c>
      <c r="I266">
        <f>MAX(B265-B266,0)</f>
        <v/>
      </c>
      <c r="J266">
        <f>(J265*13+H266)/14</f>
        <v/>
      </c>
      <c r="K266">
        <f>(K265*13+I266)/14</f>
        <v/>
      </c>
      <c r="L266">
        <f>IF(K266=0,100,100-100/(1+J266/K266))</f>
        <v/>
      </c>
      <c r="M266">
        <f>IF(MAX(C253:C266)=MIN(D253:D266),50,100*(B266-MIN(D253:D266))/(MAX(C253:C266)-MIN(D253:D266)))</f>
        <v/>
      </c>
      <c r="N266">
        <f>AVERAGE(M264:M266)</f>
        <v/>
      </c>
      <c r="O266">
        <f>IF(ISNUMBER(L266),L266&lt;30,FALSE)</f>
        <v/>
      </c>
      <c r="P266">
        <f>IF(ISNUMBER(N266),N266&lt;20,FALSE)</f>
        <v/>
      </c>
      <c r="Q266">
        <f>IF(AND(ISNUMBER(E246),ISNUMBER(E266)),AND(E266&gt;E246,B266&lt;=E266*1.01,B265&gt;E265*1.01),FALSE)</f>
        <v/>
      </c>
      <c r="R266">
        <f>IF(AND(ISNUMBER(F246),ISNUMBER(F266)),AND(F266&gt;F246,B266&lt;=F266*1.01,B265&gt;F265*1.01),FALSE)</f>
        <v/>
      </c>
      <c r="S266">
        <f>IF(ISNUMBER(G266),B266&lt;G266,FALSE)</f>
        <v/>
      </c>
      <c r="T266">
        <f>OR(O266,P266,Q266,R266,S266)</f>
        <v/>
      </c>
    </row>
    <row r="267">
      <c r="A267">
        <f>IF(Prices!A267="","",Prices!A267)</f>
        <v/>
      </c>
      <c r="B267">
        <f>IF(Prices!E267="","",Prices!E267)</f>
        <v/>
      </c>
      <c r="C267">
        <f>IF(Prices!C267="","",Prices!C267)</f>
        <v/>
      </c>
      <c r="D267">
        <f>IF(Prices!D267="","",Prices!D267)</f>
        <v/>
      </c>
      <c r="E267">
        <f>AVERAGE(B218:B267)</f>
        <v/>
      </c>
      <c r="F267">
        <f>AVERAGE(B68:B267)</f>
        <v/>
      </c>
      <c r="G267">
        <f>AVERAGE(B248:B267)-2*STDEV.P(B248:B267)</f>
        <v/>
      </c>
      <c r="H267">
        <f>MAX(B267-B266,0)</f>
        <v/>
      </c>
      <c r="I267">
        <f>MAX(B266-B267,0)</f>
        <v/>
      </c>
      <c r="J267">
        <f>(J266*13+H267)/14</f>
        <v/>
      </c>
      <c r="K267">
        <f>(K266*13+I267)/14</f>
        <v/>
      </c>
      <c r="L267">
        <f>IF(K267=0,100,100-100/(1+J267/K267))</f>
        <v/>
      </c>
      <c r="M267">
        <f>IF(MAX(C254:C267)=MIN(D254:D267),50,100*(B267-MIN(D254:D267))/(MAX(C254:C267)-MIN(D254:D267)))</f>
        <v/>
      </c>
      <c r="N267">
        <f>AVERAGE(M265:M267)</f>
        <v/>
      </c>
      <c r="O267">
        <f>IF(ISNUMBER(L267),L267&lt;30,FALSE)</f>
        <v/>
      </c>
      <c r="P267">
        <f>IF(ISNUMBER(N267),N267&lt;20,FALSE)</f>
        <v/>
      </c>
      <c r="Q267">
        <f>IF(AND(ISNUMBER(E247),ISNUMBER(E267)),AND(E267&gt;E247,B267&lt;=E267*1.01,B266&gt;E266*1.01),FALSE)</f>
        <v/>
      </c>
      <c r="R267">
        <f>IF(AND(ISNUMBER(F247),ISNUMBER(F267)),AND(F267&gt;F247,B267&lt;=F267*1.01,B266&gt;F266*1.01),FALSE)</f>
        <v/>
      </c>
      <c r="S267">
        <f>IF(ISNUMBER(G267),B267&lt;G267,FALSE)</f>
        <v/>
      </c>
      <c r="T267">
        <f>OR(O267,P267,Q267,R267,S267)</f>
        <v/>
      </c>
    </row>
    <row r="268">
      <c r="A268">
        <f>IF(Prices!A268="","",Prices!A268)</f>
        <v/>
      </c>
      <c r="B268">
        <f>IF(Prices!E268="","",Prices!E268)</f>
        <v/>
      </c>
      <c r="C268">
        <f>IF(Prices!C268="","",Prices!C268)</f>
        <v/>
      </c>
      <c r="D268">
        <f>IF(Prices!D268="","",Prices!D268)</f>
        <v/>
      </c>
      <c r="E268">
        <f>AVERAGE(B219:B268)</f>
        <v/>
      </c>
      <c r="F268">
        <f>AVERAGE(B69:B268)</f>
        <v/>
      </c>
      <c r="G268">
        <f>AVERAGE(B249:B268)-2*STDEV.P(B249:B268)</f>
        <v/>
      </c>
      <c r="H268">
        <f>MAX(B268-B267,0)</f>
        <v/>
      </c>
      <c r="I268">
        <f>MAX(B267-B268,0)</f>
        <v/>
      </c>
      <c r="J268">
        <f>(J267*13+H268)/14</f>
        <v/>
      </c>
      <c r="K268">
        <f>(K267*13+I268)/14</f>
        <v/>
      </c>
      <c r="L268">
        <f>IF(K268=0,100,100-100/(1+J268/K268))</f>
        <v/>
      </c>
      <c r="M268">
        <f>IF(MAX(C255:C268)=MIN(D255:D268),50,100*(B268-MIN(D255:D268))/(MAX(C255:C268)-MIN(D255:D268)))</f>
        <v/>
      </c>
      <c r="N268">
        <f>AVERAGE(M266:M268)</f>
        <v/>
      </c>
      <c r="O268">
        <f>IF(ISNUMBER(L268),L268&lt;30,FALSE)</f>
        <v/>
      </c>
      <c r="P268">
        <f>IF(ISNUMBER(N268),N268&lt;20,FALSE)</f>
        <v/>
      </c>
      <c r="Q268">
        <f>IF(AND(ISNUMBER(E248),ISNUMBER(E268)),AND(E268&gt;E248,B268&lt;=E268*1.01,B267&gt;E267*1.01),FALSE)</f>
        <v/>
      </c>
      <c r="R268">
        <f>IF(AND(ISNUMBER(F248),ISNUMBER(F268)),AND(F268&gt;F248,B268&lt;=F268*1.01,B267&gt;F267*1.01),FALSE)</f>
        <v/>
      </c>
      <c r="S268">
        <f>IF(ISNUMBER(G268),B268&lt;G268,FALSE)</f>
        <v/>
      </c>
      <c r="T268">
        <f>OR(O268,P268,Q268,R268,S268)</f>
        <v/>
      </c>
    </row>
    <row r="269">
      <c r="A269">
        <f>IF(Prices!A269="","",Prices!A269)</f>
        <v/>
      </c>
      <c r="B269">
        <f>IF(Prices!E269="","",Prices!E269)</f>
        <v/>
      </c>
      <c r="C269">
        <f>IF(Prices!C269="","",Prices!C269)</f>
        <v/>
      </c>
      <c r="D269">
        <f>IF(Prices!D269="","",Prices!D269)</f>
        <v/>
      </c>
      <c r="E269">
        <f>AVERAGE(B220:B269)</f>
        <v/>
      </c>
      <c r="F269">
        <f>AVERAGE(B70:B269)</f>
        <v/>
      </c>
      <c r="G269">
        <f>AVERAGE(B250:B269)-2*STDEV.P(B250:B269)</f>
        <v/>
      </c>
      <c r="H269">
        <f>MAX(B269-B268,0)</f>
        <v/>
      </c>
      <c r="I269">
        <f>MAX(B268-B269,0)</f>
        <v/>
      </c>
      <c r="J269">
        <f>(J268*13+H269)/14</f>
        <v/>
      </c>
      <c r="K269">
        <f>(K268*13+I269)/14</f>
        <v/>
      </c>
      <c r="L269">
        <f>IF(K269=0,100,100-100/(1+J269/K269))</f>
        <v/>
      </c>
      <c r="M269">
        <f>IF(MAX(C256:C269)=MIN(D256:D269),50,100*(B269-MIN(D256:D269))/(MAX(C256:C269)-MIN(D256:D269)))</f>
        <v/>
      </c>
      <c r="N269">
        <f>AVERAGE(M267:M269)</f>
        <v/>
      </c>
      <c r="O269">
        <f>IF(ISNUMBER(L269),L269&lt;30,FALSE)</f>
        <v/>
      </c>
      <c r="P269">
        <f>IF(ISNUMBER(N269),N269&lt;20,FALSE)</f>
        <v/>
      </c>
      <c r="Q269">
        <f>IF(AND(ISNUMBER(E249),ISNUMBER(E269)),AND(E269&gt;E249,B269&lt;=E269*1.01,B268&gt;E268*1.01),FALSE)</f>
        <v/>
      </c>
      <c r="R269">
        <f>IF(AND(ISNUMBER(F249),ISNUMBER(F269)),AND(F269&gt;F249,B269&lt;=F269*1.01,B268&gt;F268*1.01),FALSE)</f>
        <v/>
      </c>
      <c r="S269">
        <f>IF(ISNUMBER(G269),B269&lt;G269,FALSE)</f>
        <v/>
      </c>
      <c r="T269">
        <f>OR(O269,P269,Q269,R269,S269)</f>
        <v/>
      </c>
    </row>
    <row r="270">
      <c r="A270">
        <f>IF(Prices!A270="","",Prices!A270)</f>
        <v/>
      </c>
      <c r="B270">
        <f>IF(Prices!E270="","",Prices!E270)</f>
        <v/>
      </c>
      <c r="C270">
        <f>IF(Prices!C270="","",Prices!C270)</f>
        <v/>
      </c>
      <c r="D270">
        <f>IF(Prices!D270="","",Prices!D270)</f>
        <v/>
      </c>
      <c r="E270">
        <f>AVERAGE(B221:B270)</f>
        <v/>
      </c>
      <c r="F270">
        <f>AVERAGE(B71:B270)</f>
        <v/>
      </c>
      <c r="G270">
        <f>AVERAGE(B251:B270)-2*STDEV.P(B251:B270)</f>
        <v/>
      </c>
      <c r="H270">
        <f>MAX(B270-B269,0)</f>
        <v/>
      </c>
      <c r="I270">
        <f>MAX(B269-B270,0)</f>
        <v/>
      </c>
      <c r="J270">
        <f>(J269*13+H270)/14</f>
        <v/>
      </c>
      <c r="K270">
        <f>(K269*13+I270)/14</f>
        <v/>
      </c>
      <c r="L270">
        <f>IF(K270=0,100,100-100/(1+J270/K270))</f>
        <v/>
      </c>
      <c r="M270">
        <f>IF(MAX(C257:C270)=MIN(D257:D270),50,100*(B270-MIN(D257:D270))/(MAX(C257:C270)-MIN(D257:D270)))</f>
        <v/>
      </c>
      <c r="N270">
        <f>AVERAGE(M268:M270)</f>
        <v/>
      </c>
      <c r="O270">
        <f>IF(ISNUMBER(L270),L270&lt;30,FALSE)</f>
        <v/>
      </c>
      <c r="P270">
        <f>IF(ISNUMBER(N270),N270&lt;20,FALSE)</f>
        <v/>
      </c>
      <c r="Q270">
        <f>IF(AND(ISNUMBER(E250),ISNUMBER(E270)),AND(E270&gt;E250,B270&lt;=E270*1.01,B269&gt;E269*1.01),FALSE)</f>
        <v/>
      </c>
      <c r="R270">
        <f>IF(AND(ISNUMBER(F250),ISNUMBER(F270)),AND(F270&gt;F250,B270&lt;=F270*1.01,B269&gt;F269*1.01),FALSE)</f>
        <v/>
      </c>
      <c r="S270">
        <f>IF(ISNUMBER(G270),B270&lt;G270,FALSE)</f>
        <v/>
      </c>
      <c r="T270">
        <f>OR(O270,P270,Q270,R270,S270)</f>
        <v/>
      </c>
    </row>
    <row r="271">
      <c r="A271">
        <f>IF(Prices!A271="","",Prices!A271)</f>
        <v/>
      </c>
      <c r="B271">
        <f>IF(Prices!E271="","",Prices!E271)</f>
        <v/>
      </c>
      <c r="C271">
        <f>IF(Prices!C271="","",Prices!C271)</f>
        <v/>
      </c>
      <c r="D271">
        <f>IF(Prices!D271="","",Prices!D271)</f>
        <v/>
      </c>
      <c r="E271">
        <f>AVERAGE(B222:B271)</f>
        <v/>
      </c>
      <c r="F271">
        <f>AVERAGE(B72:B271)</f>
        <v/>
      </c>
      <c r="G271">
        <f>AVERAGE(B252:B271)-2*STDEV.P(B252:B271)</f>
        <v/>
      </c>
      <c r="H271">
        <f>MAX(B271-B270,0)</f>
        <v/>
      </c>
      <c r="I271">
        <f>MAX(B270-B271,0)</f>
        <v/>
      </c>
      <c r="J271">
        <f>(J270*13+H271)/14</f>
        <v/>
      </c>
      <c r="K271">
        <f>(K270*13+I271)/14</f>
        <v/>
      </c>
      <c r="L271">
        <f>IF(K271=0,100,100-100/(1+J271/K271))</f>
        <v/>
      </c>
      <c r="M271">
        <f>IF(MAX(C258:C271)=MIN(D258:D271),50,100*(B271-MIN(D258:D271))/(MAX(C258:C271)-MIN(D258:D271)))</f>
        <v/>
      </c>
      <c r="N271">
        <f>AVERAGE(M269:M271)</f>
        <v/>
      </c>
      <c r="O271">
        <f>IF(ISNUMBER(L271),L271&lt;30,FALSE)</f>
        <v/>
      </c>
      <c r="P271">
        <f>IF(ISNUMBER(N271),N271&lt;20,FALSE)</f>
        <v/>
      </c>
      <c r="Q271">
        <f>IF(AND(ISNUMBER(E251),ISNUMBER(E271)),AND(E271&gt;E251,B271&lt;=E271*1.01,B270&gt;E270*1.01),FALSE)</f>
        <v/>
      </c>
      <c r="R271">
        <f>IF(AND(ISNUMBER(F251),ISNUMBER(F271)),AND(F271&gt;F251,B271&lt;=F271*1.01,B270&gt;F270*1.01),FALSE)</f>
        <v/>
      </c>
      <c r="S271">
        <f>IF(ISNUMBER(G271),B271&lt;G271,FALSE)</f>
        <v/>
      </c>
      <c r="T271">
        <f>OR(O271,P271,Q271,R271,S271)</f>
        <v/>
      </c>
    </row>
    <row r="272">
      <c r="A272">
        <f>IF(Prices!A272="","",Prices!A272)</f>
        <v/>
      </c>
      <c r="B272">
        <f>IF(Prices!E272="","",Prices!E272)</f>
        <v/>
      </c>
      <c r="C272">
        <f>IF(Prices!C272="","",Prices!C272)</f>
        <v/>
      </c>
      <c r="D272">
        <f>IF(Prices!D272="","",Prices!D272)</f>
        <v/>
      </c>
      <c r="E272">
        <f>AVERAGE(B223:B272)</f>
        <v/>
      </c>
      <c r="F272">
        <f>AVERAGE(B73:B272)</f>
        <v/>
      </c>
      <c r="G272">
        <f>AVERAGE(B253:B272)-2*STDEV.P(B253:B272)</f>
        <v/>
      </c>
      <c r="H272">
        <f>MAX(B272-B271,0)</f>
        <v/>
      </c>
      <c r="I272">
        <f>MAX(B271-B272,0)</f>
        <v/>
      </c>
      <c r="J272">
        <f>(J271*13+H272)/14</f>
        <v/>
      </c>
      <c r="K272">
        <f>(K271*13+I272)/14</f>
        <v/>
      </c>
      <c r="L272">
        <f>IF(K272=0,100,100-100/(1+J272/K272))</f>
        <v/>
      </c>
      <c r="M272">
        <f>IF(MAX(C259:C272)=MIN(D259:D272),50,100*(B272-MIN(D259:D272))/(MAX(C259:C272)-MIN(D259:D272)))</f>
        <v/>
      </c>
      <c r="N272">
        <f>AVERAGE(M270:M272)</f>
        <v/>
      </c>
      <c r="O272">
        <f>IF(ISNUMBER(L272),L272&lt;30,FALSE)</f>
        <v/>
      </c>
      <c r="P272">
        <f>IF(ISNUMBER(N272),N272&lt;20,FALSE)</f>
        <v/>
      </c>
      <c r="Q272">
        <f>IF(AND(ISNUMBER(E252),ISNUMBER(E272)),AND(E272&gt;E252,B272&lt;=E272*1.01,B271&gt;E271*1.01),FALSE)</f>
        <v/>
      </c>
      <c r="R272">
        <f>IF(AND(ISNUMBER(F252),ISNUMBER(F272)),AND(F272&gt;F252,B272&lt;=F272*1.01,B271&gt;F271*1.01),FALSE)</f>
        <v/>
      </c>
      <c r="S272">
        <f>IF(ISNUMBER(G272),B272&lt;G272,FALSE)</f>
        <v/>
      </c>
      <c r="T272">
        <f>OR(O272,P272,Q272,R272,S272)</f>
        <v/>
      </c>
    </row>
    <row r="273">
      <c r="A273">
        <f>IF(Prices!A273="","",Prices!A273)</f>
        <v/>
      </c>
      <c r="B273">
        <f>IF(Prices!E273="","",Prices!E273)</f>
        <v/>
      </c>
      <c r="C273">
        <f>IF(Prices!C273="","",Prices!C273)</f>
        <v/>
      </c>
      <c r="D273">
        <f>IF(Prices!D273="","",Prices!D273)</f>
        <v/>
      </c>
      <c r="E273">
        <f>AVERAGE(B224:B273)</f>
        <v/>
      </c>
      <c r="F273">
        <f>AVERAGE(B74:B273)</f>
        <v/>
      </c>
      <c r="G273">
        <f>AVERAGE(B254:B273)-2*STDEV.P(B254:B273)</f>
        <v/>
      </c>
      <c r="H273">
        <f>MAX(B273-B272,0)</f>
        <v/>
      </c>
      <c r="I273">
        <f>MAX(B272-B273,0)</f>
        <v/>
      </c>
      <c r="J273">
        <f>(J272*13+H273)/14</f>
        <v/>
      </c>
      <c r="K273">
        <f>(K272*13+I273)/14</f>
        <v/>
      </c>
      <c r="L273">
        <f>IF(K273=0,100,100-100/(1+J273/K273))</f>
        <v/>
      </c>
      <c r="M273">
        <f>IF(MAX(C260:C273)=MIN(D260:D273),50,100*(B273-MIN(D260:D273))/(MAX(C260:C273)-MIN(D260:D273)))</f>
        <v/>
      </c>
      <c r="N273">
        <f>AVERAGE(M271:M273)</f>
        <v/>
      </c>
      <c r="O273">
        <f>IF(ISNUMBER(L273),L273&lt;30,FALSE)</f>
        <v/>
      </c>
      <c r="P273">
        <f>IF(ISNUMBER(N273),N273&lt;20,FALSE)</f>
        <v/>
      </c>
      <c r="Q273">
        <f>IF(AND(ISNUMBER(E253),ISNUMBER(E273)),AND(E273&gt;E253,B273&lt;=E273*1.01,B272&gt;E272*1.01),FALSE)</f>
        <v/>
      </c>
      <c r="R273">
        <f>IF(AND(ISNUMBER(F253),ISNUMBER(F273)),AND(F273&gt;F253,B273&lt;=F273*1.01,B272&gt;F272*1.01),FALSE)</f>
        <v/>
      </c>
      <c r="S273">
        <f>IF(ISNUMBER(G273),B273&lt;G273,FALSE)</f>
        <v/>
      </c>
      <c r="T273">
        <f>OR(O273,P273,Q273,R273,S273)</f>
        <v/>
      </c>
    </row>
    <row r="274">
      <c r="A274">
        <f>IF(Prices!A274="","",Prices!A274)</f>
        <v/>
      </c>
      <c r="B274">
        <f>IF(Prices!E274="","",Prices!E274)</f>
        <v/>
      </c>
      <c r="C274">
        <f>IF(Prices!C274="","",Prices!C274)</f>
        <v/>
      </c>
      <c r="D274">
        <f>IF(Prices!D274="","",Prices!D274)</f>
        <v/>
      </c>
      <c r="E274">
        <f>AVERAGE(B225:B274)</f>
        <v/>
      </c>
      <c r="F274">
        <f>AVERAGE(B75:B274)</f>
        <v/>
      </c>
      <c r="G274">
        <f>AVERAGE(B255:B274)-2*STDEV.P(B255:B274)</f>
        <v/>
      </c>
      <c r="H274">
        <f>MAX(B274-B273,0)</f>
        <v/>
      </c>
      <c r="I274">
        <f>MAX(B273-B274,0)</f>
        <v/>
      </c>
      <c r="J274">
        <f>(J273*13+H274)/14</f>
        <v/>
      </c>
      <c r="K274">
        <f>(K273*13+I274)/14</f>
        <v/>
      </c>
      <c r="L274">
        <f>IF(K274=0,100,100-100/(1+J274/K274))</f>
        <v/>
      </c>
      <c r="M274">
        <f>IF(MAX(C261:C274)=MIN(D261:D274),50,100*(B274-MIN(D261:D274))/(MAX(C261:C274)-MIN(D261:D274)))</f>
        <v/>
      </c>
      <c r="N274">
        <f>AVERAGE(M272:M274)</f>
        <v/>
      </c>
      <c r="O274">
        <f>IF(ISNUMBER(L274),L274&lt;30,FALSE)</f>
        <v/>
      </c>
      <c r="P274">
        <f>IF(ISNUMBER(N274),N274&lt;20,FALSE)</f>
        <v/>
      </c>
      <c r="Q274">
        <f>IF(AND(ISNUMBER(E254),ISNUMBER(E274)),AND(E274&gt;E254,B274&lt;=E274*1.01,B273&gt;E273*1.01),FALSE)</f>
        <v/>
      </c>
      <c r="R274">
        <f>IF(AND(ISNUMBER(F254),ISNUMBER(F274)),AND(F274&gt;F254,B274&lt;=F274*1.01,B273&gt;F273*1.01),FALSE)</f>
        <v/>
      </c>
      <c r="S274">
        <f>IF(ISNUMBER(G274),B274&lt;G274,FALSE)</f>
        <v/>
      </c>
      <c r="T274">
        <f>OR(O274,P274,Q274,R274,S274)</f>
        <v/>
      </c>
    </row>
    <row r="275">
      <c r="A275">
        <f>IF(Prices!A275="","",Prices!A275)</f>
        <v/>
      </c>
      <c r="B275">
        <f>IF(Prices!E275="","",Prices!E275)</f>
        <v/>
      </c>
      <c r="C275">
        <f>IF(Prices!C275="","",Prices!C275)</f>
        <v/>
      </c>
      <c r="D275">
        <f>IF(Prices!D275="","",Prices!D275)</f>
        <v/>
      </c>
      <c r="E275">
        <f>AVERAGE(B226:B275)</f>
        <v/>
      </c>
      <c r="F275">
        <f>AVERAGE(B76:B275)</f>
        <v/>
      </c>
      <c r="G275">
        <f>AVERAGE(B256:B275)-2*STDEV.P(B256:B275)</f>
        <v/>
      </c>
      <c r="H275">
        <f>MAX(B275-B274,0)</f>
        <v/>
      </c>
      <c r="I275">
        <f>MAX(B274-B275,0)</f>
        <v/>
      </c>
      <c r="J275">
        <f>(J274*13+H275)/14</f>
        <v/>
      </c>
      <c r="K275">
        <f>(K274*13+I275)/14</f>
        <v/>
      </c>
      <c r="L275">
        <f>IF(K275=0,100,100-100/(1+J275/K275))</f>
        <v/>
      </c>
      <c r="M275">
        <f>IF(MAX(C262:C275)=MIN(D262:D275),50,100*(B275-MIN(D262:D275))/(MAX(C262:C275)-MIN(D262:D275)))</f>
        <v/>
      </c>
      <c r="N275">
        <f>AVERAGE(M273:M275)</f>
        <v/>
      </c>
      <c r="O275">
        <f>IF(ISNUMBER(L275),L275&lt;30,FALSE)</f>
        <v/>
      </c>
      <c r="P275">
        <f>IF(ISNUMBER(N275),N275&lt;20,FALSE)</f>
        <v/>
      </c>
      <c r="Q275">
        <f>IF(AND(ISNUMBER(E255),ISNUMBER(E275)),AND(E275&gt;E255,B275&lt;=E275*1.01,B274&gt;E274*1.01),FALSE)</f>
        <v/>
      </c>
      <c r="R275">
        <f>IF(AND(ISNUMBER(F255),ISNUMBER(F275)),AND(F275&gt;F255,B275&lt;=F275*1.01,B274&gt;F274*1.01),FALSE)</f>
        <v/>
      </c>
      <c r="S275">
        <f>IF(ISNUMBER(G275),B275&lt;G275,FALSE)</f>
        <v/>
      </c>
      <c r="T275">
        <f>OR(O275,P275,Q275,R275,S275)</f>
        <v/>
      </c>
    </row>
    <row r="276">
      <c r="A276">
        <f>IF(Prices!A276="","",Prices!A276)</f>
        <v/>
      </c>
      <c r="B276">
        <f>IF(Prices!E276="","",Prices!E276)</f>
        <v/>
      </c>
      <c r="C276">
        <f>IF(Prices!C276="","",Prices!C276)</f>
        <v/>
      </c>
      <c r="D276">
        <f>IF(Prices!D276="","",Prices!D276)</f>
        <v/>
      </c>
      <c r="E276">
        <f>AVERAGE(B227:B276)</f>
        <v/>
      </c>
      <c r="F276">
        <f>AVERAGE(B77:B276)</f>
        <v/>
      </c>
      <c r="G276">
        <f>AVERAGE(B257:B276)-2*STDEV.P(B257:B276)</f>
        <v/>
      </c>
      <c r="H276">
        <f>MAX(B276-B275,0)</f>
        <v/>
      </c>
      <c r="I276">
        <f>MAX(B275-B276,0)</f>
        <v/>
      </c>
      <c r="J276">
        <f>(J275*13+H276)/14</f>
        <v/>
      </c>
      <c r="K276">
        <f>(K275*13+I276)/14</f>
        <v/>
      </c>
      <c r="L276">
        <f>IF(K276=0,100,100-100/(1+J276/K276))</f>
        <v/>
      </c>
      <c r="M276">
        <f>IF(MAX(C263:C276)=MIN(D263:D276),50,100*(B276-MIN(D263:D276))/(MAX(C263:C276)-MIN(D263:D276)))</f>
        <v/>
      </c>
      <c r="N276">
        <f>AVERAGE(M274:M276)</f>
        <v/>
      </c>
      <c r="O276">
        <f>IF(ISNUMBER(L276),L276&lt;30,FALSE)</f>
        <v/>
      </c>
      <c r="P276">
        <f>IF(ISNUMBER(N276),N276&lt;20,FALSE)</f>
        <v/>
      </c>
      <c r="Q276">
        <f>IF(AND(ISNUMBER(E256),ISNUMBER(E276)),AND(E276&gt;E256,B276&lt;=E276*1.01,B275&gt;E275*1.01),FALSE)</f>
        <v/>
      </c>
      <c r="R276">
        <f>IF(AND(ISNUMBER(F256),ISNUMBER(F276)),AND(F276&gt;F256,B276&lt;=F276*1.01,B275&gt;F275*1.01),FALSE)</f>
        <v/>
      </c>
      <c r="S276">
        <f>IF(ISNUMBER(G276),B276&lt;G276,FALSE)</f>
        <v/>
      </c>
      <c r="T276">
        <f>OR(O276,P276,Q276,R276,S276)</f>
        <v/>
      </c>
    </row>
    <row r="277">
      <c r="A277">
        <f>IF(Prices!A277="","",Prices!A277)</f>
        <v/>
      </c>
      <c r="B277">
        <f>IF(Prices!E277="","",Prices!E277)</f>
        <v/>
      </c>
      <c r="C277">
        <f>IF(Prices!C277="","",Prices!C277)</f>
        <v/>
      </c>
      <c r="D277">
        <f>IF(Prices!D277="","",Prices!D277)</f>
        <v/>
      </c>
      <c r="E277">
        <f>AVERAGE(B228:B277)</f>
        <v/>
      </c>
      <c r="F277">
        <f>AVERAGE(B78:B277)</f>
        <v/>
      </c>
      <c r="G277">
        <f>AVERAGE(B258:B277)-2*STDEV.P(B258:B277)</f>
        <v/>
      </c>
      <c r="H277">
        <f>MAX(B277-B276,0)</f>
        <v/>
      </c>
      <c r="I277">
        <f>MAX(B276-B277,0)</f>
        <v/>
      </c>
      <c r="J277">
        <f>(J276*13+H277)/14</f>
        <v/>
      </c>
      <c r="K277">
        <f>(K276*13+I277)/14</f>
        <v/>
      </c>
      <c r="L277">
        <f>IF(K277=0,100,100-100/(1+J277/K277))</f>
        <v/>
      </c>
      <c r="M277">
        <f>IF(MAX(C264:C277)=MIN(D264:D277),50,100*(B277-MIN(D264:D277))/(MAX(C264:C277)-MIN(D264:D277)))</f>
        <v/>
      </c>
      <c r="N277">
        <f>AVERAGE(M275:M277)</f>
        <v/>
      </c>
      <c r="O277">
        <f>IF(ISNUMBER(L277),L277&lt;30,FALSE)</f>
        <v/>
      </c>
      <c r="P277">
        <f>IF(ISNUMBER(N277),N277&lt;20,FALSE)</f>
        <v/>
      </c>
      <c r="Q277">
        <f>IF(AND(ISNUMBER(E257),ISNUMBER(E277)),AND(E277&gt;E257,B277&lt;=E277*1.01,B276&gt;E276*1.01),FALSE)</f>
        <v/>
      </c>
      <c r="R277">
        <f>IF(AND(ISNUMBER(F257),ISNUMBER(F277)),AND(F277&gt;F257,B277&lt;=F277*1.01,B276&gt;F276*1.01),FALSE)</f>
        <v/>
      </c>
      <c r="S277">
        <f>IF(ISNUMBER(G277),B277&lt;G277,FALSE)</f>
        <v/>
      </c>
      <c r="T277">
        <f>OR(O277,P277,Q277,R277,S277)</f>
        <v/>
      </c>
    </row>
    <row r="278">
      <c r="A278">
        <f>IF(Prices!A278="","",Prices!A278)</f>
        <v/>
      </c>
      <c r="B278">
        <f>IF(Prices!E278="","",Prices!E278)</f>
        <v/>
      </c>
      <c r="C278">
        <f>IF(Prices!C278="","",Prices!C278)</f>
        <v/>
      </c>
      <c r="D278">
        <f>IF(Prices!D278="","",Prices!D278)</f>
        <v/>
      </c>
      <c r="E278">
        <f>AVERAGE(B229:B278)</f>
        <v/>
      </c>
      <c r="F278">
        <f>AVERAGE(B79:B278)</f>
        <v/>
      </c>
      <c r="G278">
        <f>AVERAGE(B259:B278)-2*STDEV.P(B259:B278)</f>
        <v/>
      </c>
      <c r="H278">
        <f>MAX(B278-B277,0)</f>
        <v/>
      </c>
      <c r="I278">
        <f>MAX(B277-B278,0)</f>
        <v/>
      </c>
      <c r="J278">
        <f>(J277*13+H278)/14</f>
        <v/>
      </c>
      <c r="K278">
        <f>(K277*13+I278)/14</f>
        <v/>
      </c>
      <c r="L278">
        <f>IF(K278=0,100,100-100/(1+J278/K278))</f>
        <v/>
      </c>
      <c r="M278">
        <f>IF(MAX(C265:C278)=MIN(D265:D278),50,100*(B278-MIN(D265:D278))/(MAX(C265:C278)-MIN(D265:D278)))</f>
        <v/>
      </c>
      <c r="N278">
        <f>AVERAGE(M276:M278)</f>
        <v/>
      </c>
      <c r="O278">
        <f>IF(ISNUMBER(L278),L278&lt;30,FALSE)</f>
        <v/>
      </c>
      <c r="P278">
        <f>IF(ISNUMBER(N278),N278&lt;20,FALSE)</f>
        <v/>
      </c>
      <c r="Q278">
        <f>IF(AND(ISNUMBER(E258),ISNUMBER(E278)),AND(E278&gt;E258,B278&lt;=E278*1.01,B277&gt;E277*1.01),FALSE)</f>
        <v/>
      </c>
      <c r="R278">
        <f>IF(AND(ISNUMBER(F258),ISNUMBER(F278)),AND(F278&gt;F258,B278&lt;=F278*1.01,B277&gt;F277*1.01),FALSE)</f>
        <v/>
      </c>
      <c r="S278">
        <f>IF(ISNUMBER(G278),B278&lt;G278,FALSE)</f>
        <v/>
      </c>
      <c r="T278">
        <f>OR(O278,P278,Q278,R278,S278)</f>
        <v/>
      </c>
    </row>
    <row r="279">
      <c r="A279">
        <f>IF(Prices!A279="","",Prices!A279)</f>
        <v/>
      </c>
      <c r="B279">
        <f>IF(Prices!E279="","",Prices!E279)</f>
        <v/>
      </c>
      <c r="C279">
        <f>IF(Prices!C279="","",Prices!C279)</f>
        <v/>
      </c>
      <c r="D279">
        <f>IF(Prices!D279="","",Prices!D279)</f>
        <v/>
      </c>
      <c r="E279">
        <f>AVERAGE(B230:B279)</f>
        <v/>
      </c>
      <c r="F279">
        <f>AVERAGE(B80:B279)</f>
        <v/>
      </c>
      <c r="G279">
        <f>AVERAGE(B260:B279)-2*STDEV.P(B260:B279)</f>
        <v/>
      </c>
      <c r="H279">
        <f>MAX(B279-B278,0)</f>
        <v/>
      </c>
      <c r="I279">
        <f>MAX(B278-B279,0)</f>
        <v/>
      </c>
      <c r="J279">
        <f>(J278*13+H279)/14</f>
        <v/>
      </c>
      <c r="K279">
        <f>(K278*13+I279)/14</f>
        <v/>
      </c>
      <c r="L279">
        <f>IF(K279=0,100,100-100/(1+J279/K279))</f>
        <v/>
      </c>
      <c r="M279">
        <f>IF(MAX(C266:C279)=MIN(D266:D279),50,100*(B279-MIN(D266:D279))/(MAX(C266:C279)-MIN(D266:D279)))</f>
        <v/>
      </c>
      <c r="N279">
        <f>AVERAGE(M277:M279)</f>
        <v/>
      </c>
      <c r="O279">
        <f>IF(ISNUMBER(L279),L279&lt;30,FALSE)</f>
        <v/>
      </c>
      <c r="P279">
        <f>IF(ISNUMBER(N279),N279&lt;20,FALSE)</f>
        <v/>
      </c>
      <c r="Q279">
        <f>IF(AND(ISNUMBER(E259),ISNUMBER(E279)),AND(E279&gt;E259,B279&lt;=E279*1.01,B278&gt;E278*1.01),FALSE)</f>
        <v/>
      </c>
      <c r="R279">
        <f>IF(AND(ISNUMBER(F259),ISNUMBER(F279)),AND(F279&gt;F259,B279&lt;=F279*1.01,B278&gt;F278*1.01),FALSE)</f>
        <v/>
      </c>
      <c r="S279">
        <f>IF(ISNUMBER(G279),B279&lt;G279,FALSE)</f>
        <v/>
      </c>
      <c r="T279">
        <f>OR(O279,P279,Q279,R279,S279)</f>
        <v/>
      </c>
    </row>
    <row r="280">
      <c r="A280">
        <f>IF(Prices!A280="","",Prices!A280)</f>
        <v/>
      </c>
      <c r="B280">
        <f>IF(Prices!E280="","",Prices!E280)</f>
        <v/>
      </c>
      <c r="C280">
        <f>IF(Prices!C280="","",Prices!C280)</f>
        <v/>
      </c>
      <c r="D280">
        <f>IF(Prices!D280="","",Prices!D280)</f>
        <v/>
      </c>
      <c r="E280">
        <f>AVERAGE(B231:B280)</f>
        <v/>
      </c>
      <c r="F280">
        <f>AVERAGE(B81:B280)</f>
        <v/>
      </c>
      <c r="G280">
        <f>AVERAGE(B261:B280)-2*STDEV.P(B261:B280)</f>
        <v/>
      </c>
      <c r="H280">
        <f>MAX(B280-B279,0)</f>
        <v/>
      </c>
      <c r="I280">
        <f>MAX(B279-B280,0)</f>
        <v/>
      </c>
      <c r="J280">
        <f>(J279*13+H280)/14</f>
        <v/>
      </c>
      <c r="K280">
        <f>(K279*13+I280)/14</f>
        <v/>
      </c>
      <c r="L280">
        <f>IF(K280=0,100,100-100/(1+J280/K280))</f>
        <v/>
      </c>
      <c r="M280">
        <f>IF(MAX(C267:C280)=MIN(D267:D280),50,100*(B280-MIN(D267:D280))/(MAX(C267:C280)-MIN(D267:D280)))</f>
        <v/>
      </c>
      <c r="N280">
        <f>AVERAGE(M278:M280)</f>
        <v/>
      </c>
      <c r="O280">
        <f>IF(ISNUMBER(L280),L280&lt;30,FALSE)</f>
        <v/>
      </c>
      <c r="P280">
        <f>IF(ISNUMBER(N280),N280&lt;20,FALSE)</f>
        <v/>
      </c>
      <c r="Q280">
        <f>IF(AND(ISNUMBER(E260),ISNUMBER(E280)),AND(E280&gt;E260,B280&lt;=E280*1.01,B279&gt;E279*1.01),FALSE)</f>
        <v/>
      </c>
      <c r="R280">
        <f>IF(AND(ISNUMBER(F260),ISNUMBER(F280)),AND(F280&gt;F260,B280&lt;=F280*1.01,B279&gt;F279*1.01),FALSE)</f>
        <v/>
      </c>
      <c r="S280">
        <f>IF(ISNUMBER(G280),B280&lt;G280,FALSE)</f>
        <v/>
      </c>
      <c r="T280">
        <f>OR(O280,P280,Q280,R280,S280)</f>
        <v/>
      </c>
    </row>
    <row r="281">
      <c r="A281">
        <f>IF(Prices!A281="","",Prices!A281)</f>
        <v/>
      </c>
      <c r="B281">
        <f>IF(Prices!E281="","",Prices!E281)</f>
        <v/>
      </c>
      <c r="C281">
        <f>IF(Prices!C281="","",Prices!C281)</f>
        <v/>
      </c>
      <c r="D281">
        <f>IF(Prices!D281="","",Prices!D281)</f>
        <v/>
      </c>
      <c r="E281">
        <f>AVERAGE(B232:B281)</f>
        <v/>
      </c>
      <c r="F281">
        <f>AVERAGE(B82:B281)</f>
        <v/>
      </c>
      <c r="G281">
        <f>AVERAGE(B262:B281)-2*STDEV.P(B262:B281)</f>
        <v/>
      </c>
      <c r="H281">
        <f>MAX(B281-B280,0)</f>
        <v/>
      </c>
      <c r="I281">
        <f>MAX(B280-B281,0)</f>
        <v/>
      </c>
      <c r="J281">
        <f>(J280*13+H281)/14</f>
        <v/>
      </c>
      <c r="K281">
        <f>(K280*13+I281)/14</f>
        <v/>
      </c>
      <c r="L281">
        <f>IF(K281=0,100,100-100/(1+J281/K281))</f>
        <v/>
      </c>
      <c r="M281">
        <f>IF(MAX(C268:C281)=MIN(D268:D281),50,100*(B281-MIN(D268:D281))/(MAX(C268:C281)-MIN(D268:D281)))</f>
        <v/>
      </c>
      <c r="N281">
        <f>AVERAGE(M279:M281)</f>
        <v/>
      </c>
      <c r="O281">
        <f>IF(ISNUMBER(L281),L281&lt;30,FALSE)</f>
        <v/>
      </c>
      <c r="P281">
        <f>IF(ISNUMBER(N281),N281&lt;20,FALSE)</f>
        <v/>
      </c>
      <c r="Q281">
        <f>IF(AND(ISNUMBER(E261),ISNUMBER(E281)),AND(E281&gt;E261,B281&lt;=E281*1.01,B280&gt;E280*1.01),FALSE)</f>
        <v/>
      </c>
      <c r="R281">
        <f>IF(AND(ISNUMBER(F261),ISNUMBER(F281)),AND(F281&gt;F261,B281&lt;=F281*1.01,B280&gt;F280*1.01),FALSE)</f>
        <v/>
      </c>
      <c r="S281">
        <f>IF(ISNUMBER(G281),B281&lt;G281,FALSE)</f>
        <v/>
      </c>
      <c r="T281">
        <f>OR(O281,P281,Q281,R281,S281)</f>
        <v/>
      </c>
    </row>
    <row r="282">
      <c r="A282">
        <f>IF(Prices!A282="","",Prices!A282)</f>
        <v/>
      </c>
      <c r="B282">
        <f>IF(Prices!E282="","",Prices!E282)</f>
        <v/>
      </c>
      <c r="C282">
        <f>IF(Prices!C282="","",Prices!C282)</f>
        <v/>
      </c>
      <c r="D282">
        <f>IF(Prices!D282="","",Prices!D282)</f>
        <v/>
      </c>
      <c r="E282">
        <f>AVERAGE(B233:B282)</f>
        <v/>
      </c>
      <c r="F282">
        <f>AVERAGE(B83:B282)</f>
        <v/>
      </c>
      <c r="G282">
        <f>AVERAGE(B263:B282)-2*STDEV.P(B263:B282)</f>
        <v/>
      </c>
      <c r="H282">
        <f>MAX(B282-B281,0)</f>
        <v/>
      </c>
      <c r="I282">
        <f>MAX(B281-B282,0)</f>
        <v/>
      </c>
      <c r="J282">
        <f>(J281*13+H282)/14</f>
        <v/>
      </c>
      <c r="K282">
        <f>(K281*13+I282)/14</f>
        <v/>
      </c>
      <c r="L282">
        <f>IF(K282=0,100,100-100/(1+J282/K282))</f>
        <v/>
      </c>
      <c r="M282">
        <f>IF(MAX(C269:C282)=MIN(D269:D282),50,100*(B282-MIN(D269:D282))/(MAX(C269:C282)-MIN(D269:D282)))</f>
        <v/>
      </c>
      <c r="N282">
        <f>AVERAGE(M280:M282)</f>
        <v/>
      </c>
      <c r="O282">
        <f>IF(ISNUMBER(L282),L282&lt;30,FALSE)</f>
        <v/>
      </c>
      <c r="P282">
        <f>IF(ISNUMBER(N282),N282&lt;20,FALSE)</f>
        <v/>
      </c>
      <c r="Q282">
        <f>IF(AND(ISNUMBER(E262),ISNUMBER(E282)),AND(E282&gt;E262,B282&lt;=E282*1.01,B281&gt;E281*1.01),FALSE)</f>
        <v/>
      </c>
      <c r="R282">
        <f>IF(AND(ISNUMBER(F262),ISNUMBER(F282)),AND(F282&gt;F262,B282&lt;=F282*1.01,B281&gt;F281*1.01),FALSE)</f>
        <v/>
      </c>
      <c r="S282">
        <f>IF(ISNUMBER(G282),B282&lt;G282,FALSE)</f>
        <v/>
      </c>
      <c r="T282">
        <f>OR(O282,P282,Q282,R282,S282)</f>
        <v/>
      </c>
    </row>
    <row r="283">
      <c r="A283">
        <f>IF(Prices!A283="","",Prices!A283)</f>
        <v/>
      </c>
      <c r="B283">
        <f>IF(Prices!E283="","",Prices!E283)</f>
        <v/>
      </c>
      <c r="C283">
        <f>IF(Prices!C283="","",Prices!C283)</f>
        <v/>
      </c>
      <c r="D283">
        <f>IF(Prices!D283="","",Prices!D283)</f>
        <v/>
      </c>
      <c r="E283">
        <f>AVERAGE(B234:B283)</f>
        <v/>
      </c>
      <c r="F283">
        <f>AVERAGE(B84:B283)</f>
        <v/>
      </c>
      <c r="G283">
        <f>AVERAGE(B264:B283)-2*STDEV.P(B264:B283)</f>
        <v/>
      </c>
      <c r="H283">
        <f>MAX(B283-B282,0)</f>
        <v/>
      </c>
      <c r="I283">
        <f>MAX(B282-B283,0)</f>
        <v/>
      </c>
      <c r="J283">
        <f>(J282*13+H283)/14</f>
        <v/>
      </c>
      <c r="K283">
        <f>(K282*13+I283)/14</f>
        <v/>
      </c>
      <c r="L283">
        <f>IF(K283=0,100,100-100/(1+J283/K283))</f>
        <v/>
      </c>
      <c r="M283">
        <f>IF(MAX(C270:C283)=MIN(D270:D283),50,100*(B283-MIN(D270:D283))/(MAX(C270:C283)-MIN(D270:D283)))</f>
        <v/>
      </c>
      <c r="N283">
        <f>AVERAGE(M281:M283)</f>
        <v/>
      </c>
      <c r="O283">
        <f>IF(ISNUMBER(L283),L283&lt;30,FALSE)</f>
        <v/>
      </c>
      <c r="P283">
        <f>IF(ISNUMBER(N283),N283&lt;20,FALSE)</f>
        <v/>
      </c>
      <c r="Q283">
        <f>IF(AND(ISNUMBER(E263),ISNUMBER(E283)),AND(E283&gt;E263,B283&lt;=E283*1.01,B282&gt;E282*1.01),FALSE)</f>
        <v/>
      </c>
      <c r="R283">
        <f>IF(AND(ISNUMBER(F263),ISNUMBER(F283)),AND(F283&gt;F263,B283&lt;=F283*1.01,B282&gt;F282*1.01),FALSE)</f>
        <v/>
      </c>
      <c r="S283">
        <f>IF(ISNUMBER(G283),B283&lt;G283,FALSE)</f>
        <v/>
      </c>
      <c r="T283">
        <f>OR(O283,P283,Q283,R283,S283)</f>
        <v/>
      </c>
    </row>
    <row r="284">
      <c r="A284">
        <f>IF(Prices!A284="","",Prices!A284)</f>
        <v/>
      </c>
      <c r="B284">
        <f>IF(Prices!E284="","",Prices!E284)</f>
        <v/>
      </c>
      <c r="C284">
        <f>IF(Prices!C284="","",Prices!C284)</f>
        <v/>
      </c>
      <c r="D284">
        <f>IF(Prices!D284="","",Prices!D284)</f>
        <v/>
      </c>
      <c r="E284">
        <f>AVERAGE(B235:B284)</f>
        <v/>
      </c>
      <c r="F284">
        <f>AVERAGE(B85:B284)</f>
        <v/>
      </c>
      <c r="G284">
        <f>AVERAGE(B265:B284)-2*STDEV.P(B265:B284)</f>
        <v/>
      </c>
      <c r="H284">
        <f>MAX(B284-B283,0)</f>
        <v/>
      </c>
      <c r="I284">
        <f>MAX(B283-B284,0)</f>
        <v/>
      </c>
      <c r="J284">
        <f>(J283*13+H284)/14</f>
        <v/>
      </c>
      <c r="K284">
        <f>(K283*13+I284)/14</f>
        <v/>
      </c>
      <c r="L284">
        <f>IF(K284=0,100,100-100/(1+J284/K284))</f>
        <v/>
      </c>
      <c r="M284">
        <f>IF(MAX(C271:C284)=MIN(D271:D284),50,100*(B284-MIN(D271:D284))/(MAX(C271:C284)-MIN(D271:D284)))</f>
        <v/>
      </c>
      <c r="N284">
        <f>AVERAGE(M282:M284)</f>
        <v/>
      </c>
      <c r="O284">
        <f>IF(ISNUMBER(L284),L284&lt;30,FALSE)</f>
        <v/>
      </c>
      <c r="P284">
        <f>IF(ISNUMBER(N284),N284&lt;20,FALSE)</f>
        <v/>
      </c>
      <c r="Q284">
        <f>IF(AND(ISNUMBER(E264),ISNUMBER(E284)),AND(E284&gt;E264,B284&lt;=E284*1.01,B283&gt;E283*1.01),FALSE)</f>
        <v/>
      </c>
      <c r="R284">
        <f>IF(AND(ISNUMBER(F264),ISNUMBER(F284)),AND(F284&gt;F264,B284&lt;=F284*1.01,B283&gt;F283*1.01),FALSE)</f>
        <v/>
      </c>
      <c r="S284">
        <f>IF(ISNUMBER(G284),B284&lt;G284,FALSE)</f>
        <v/>
      </c>
      <c r="T284">
        <f>OR(O284,P284,Q284,R284,S284)</f>
        <v/>
      </c>
    </row>
    <row r="285">
      <c r="A285">
        <f>IF(Prices!A285="","",Prices!A285)</f>
        <v/>
      </c>
      <c r="B285">
        <f>IF(Prices!E285="","",Prices!E285)</f>
        <v/>
      </c>
      <c r="C285">
        <f>IF(Prices!C285="","",Prices!C285)</f>
        <v/>
      </c>
      <c r="D285">
        <f>IF(Prices!D285="","",Prices!D285)</f>
        <v/>
      </c>
      <c r="E285">
        <f>AVERAGE(B236:B285)</f>
        <v/>
      </c>
      <c r="F285">
        <f>AVERAGE(B86:B285)</f>
        <v/>
      </c>
      <c r="G285">
        <f>AVERAGE(B266:B285)-2*STDEV.P(B266:B285)</f>
        <v/>
      </c>
      <c r="H285">
        <f>MAX(B285-B284,0)</f>
        <v/>
      </c>
      <c r="I285">
        <f>MAX(B284-B285,0)</f>
        <v/>
      </c>
      <c r="J285">
        <f>(J284*13+H285)/14</f>
        <v/>
      </c>
      <c r="K285">
        <f>(K284*13+I285)/14</f>
        <v/>
      </c>
      <c r="L285">
        <f>IF(K285=0,100,100-100/(1+J285/K285))</f>
        <v/>
      </c>
      <c r="M285">
        <f>IF(MAX(C272:C285)=MIN(D272:D285),50,100*(B285-MIN(D272:D285))/(MAX(C272:C285)-MIN(D272:D285)))</f>
        <v/>
      </c>
      <c r="N285">
        <f>AVERAGE(M283:M285)</f>
        <v/>
      </c>
      <c r="O285">
        <f>IF(ISNUMBER(L285),L285&lt;30,FALSE)</f>
        <v/>
      </c>
      <c r="P285">
        <f>IF(ISNUMBER(N285),N285&lt;20,FALSE)</f>
        <v/>
      </c>
      <c r="Q285">
        <f>IF(AND(ISNUMBER(E265),ISNUMBER(E285)),AND(E285&gt;E265,B285&lt;=E285*1.01,B284&gt;E284*1.01),FALSE)</f>
        <v/>
      </c>
      <c r="R285">
        <f>IF(AND(ISNUMBER(F265),ISNUMBER(F285)),AND(F285&gt;F265,B285&lt;=F285*1.01,B284&gt;F284*1.01),FALSE)</f>
        <v/>
      </c>
      <c r="S285">
        <f>IF(ISNUMBER(G285),B285&lt;G285,FALSE)</f>
        <v/>
      </c>
      <c r="T285">
        <f>OR(O285,P285,Q285,R285,S285)</f>
        <v/>
      </c>
    </row>
    <row r="286">
      <c r="A286">
        <f>IF(Prices!A286="","",Prices!A286)</f>
        <v/>
      </c>
      <c r="B286">
        <f>IF(Prices!E286="","",Prices!E286)</f>
        <v/>
      </c>
      <c r="C286">
        <f>IF(Prices!C286="","",Prices!C286)</f>
        <v/>
      </c>
      <c r="D286">
        <f>IF(Prices!D286="","",Prices!D286)</f>
        <v/>
      </c>
      <c r="E286">
        <f>AVERAGE(B237:B286)</f>
        <v/>
      </c>
      <c r="F286">
        <f>AVERAGE(B87:B286)</f>
        <v/>
      </c>
      <c r="G286">
        <f>AVERAGE(B267:B286)-2*STDEV.P(B267:B286)</f>
        <v/>
      </c>
      <c r="H286">
        <f>MAX(B286-B285,0)</f>
        <v/>
      </c>
      <c r="I286">
        <f>MAX(B285-B286,0)</f>
        <v/>
      </c>
      <c r="J286">
        <f>(J285*13+H286)/14</f>
        <v/>
      </c>
      <c r="K286">
        <f>(K285*13+I286)/14</f>
        <v/>
      </c>
      <c r="L286">
        <f>IF(K286=0,100,100-100/(1+J286/K286))</f>
        <v/>
      </c>
      <c r="M286">
        <f>IF(MAX(C273:C286)=MIN(D273:D286),50,100*(B286-MIN(D273:D286))/(MAX(C273:C286)-MIN(D273:D286)))</f>
        <v/>
      </c>
      <c r="N286">
        <f>AVERAGE(M284:M286)</f>
        <v/>
      </c>
      <c r="O286">
        <f>IF(ISNUMBER(L286),L286&lt;30,FALSE)</f>
        <v/>
      </c>
      <c r="P286">
        <f>IF(ISNUMBER(N286),N286&lt;20,FALSE)</f>
        <v/>
      </c>
      <c r="Q286">
        <f>IF(AND(ISNUMBER(E266),ISNUMBER(E286)),AND(E286&gt;E266,B286&lt;=E286*1.01,B285&gt;E285*1.01),FALSE)</f>
        <v/>
      </c>
      <c r="R286">
        <f>IF(AND(ISNUMBER(F266),ISNUMBER(F286)),AND(F286&gt;F266,B286&lt;=F286*1.01,B285&gt;F285*1.01),FALSE)</f>
        <v/>
      </c>
      <c r="S286">
        <f>IF(ISNUMBER(G286),B286&lt;G286,FALSE)</f>
        <v/>
      </c>
      <c r="T286">
        <f>OR(O286,P286,Q286,R286,S286)</f>
        <v/>
      </c>
    </row>
    <row r="287">
      <c r="A287">
        <f>IF(Prices!A287="","",Prices!A287)</f>
        <v/>
      </c>
      <c r="B287">
        <f>IF(Prices!E287="","",Prices!E287)</f>
        <v/>
      </c>
      <c r="C287">
        <f>IF(Prices!C287="","",Prices!C287)</f>
        <v/>
      </c>
      <c r="D287">
        <f>IF(Prices!D287="","",Prices!D287)</f>
        <v/>
      </c>
      <c r="E287">
        <f>AVERAGE(B238:B287)</f>
        <v/>
      </c>
      <c r="F287">
        <f>AVERAGE(B88:B287)</f>
        <v/>
      </c>
      <c r="G287">
        <f>AVERAGE(B268:B287)-2*STDEV.P(B268:B287)</f>
        <v/>
      </c>
      <c r="H287">
        <f>MAX(B287-B286,0)</f>
        <v/>
      </c>
      <c r="I287">
        <f>MAX(B286-B287,0)</f>
        <v/>
      </c>
      <c r="J287">
        <f>(J286*13+H287)/14</f>
        <v/>
      </c>
      <c r="K287">
        <f>(K286*13+I287)/14</f>
        <v/>
      </c>
      <c r="L287">
        <f>IF(K287=0,100,100-100/(1+J287/K287))</f>
        <v/>
      </c>
      <c r="M287">
        <f>IF(MAX(C274:C287)=MIN(D274:D287),50,100*(B287-MIN(D274:D287))/(MAX(C274:C287)-MIN(D274:D287)))</f>
        <v/>
      </c>
      <c r="N287">
        <f>AVERAGE(M285:M287)</f>
        <v/>
      </c>
      <c r="O287">
        <f>IF(ISNUMBER(L287),L287&lt;30,FALSE)</f>
        <v/>
      </c>
      <c r="P287">
        <f>IF(ISNUMBER(N287),N287&lt;20,FALSE)</f>
        <v/>
      </c>
      <c r="Q287">
        <f>IF(AND(ISNUMBER(E267),ISNUMBER(E287)),AND(E287&gt;E267,B287&lt;=E287*1.01,B286&gt;E286*1.01),FALSE)</f>
        <v/>
      </c>
      <c r="R287">
        <f>IF(AND(ISNUMBER(F267),ISNUMBER(F287)),AND(F287&gt;F267,B287&lt;=F287*1.01,B286&gt;F286*1.01),FALSE)</f>
        <v/>
      </c>
      <c r="S287">
        <f>IF(ISNUMBER(G287),B287&lt;G287,FALSE)</f>
        <v/>
      </c>
      <c r="T287">
        <f>OR(O287,P287,Q287,R287,S287)</f>
        <v/>
      </c>
    </row>
    <row r="288">
      <c r="A288">
        <f>IF(Prices!A288="","",Prices!A288)</f>
        <v/>
      </c>
      <c r="B288">
        <f>IF(Prices!E288="","",Prices!E288)</f>
        <v/>
      </c>
      <c r="C288">
        <f>IF(Prices!C288="","",Prices!C288)</f>
        <v/>
      </c>
      <c r="D288">
        <f>IF(Prices!D288="","",Prices!D288)</f>
        <v/>
      </c>
      <c r="E288">
        <f>AVERAGE(B239:B288)</f>
        <v/>
      </c>
      <c r="F288">
        <f>AVERAGE(B89:B288)</f>
        <v/>
      </c>
      <c r="G288">
        <f>AVERAGE(B269:B288)-2*STDEV.P(B269:B288)</f>
        <v/>
      </c>
      <c r="H288">
        <f>MAX(B288-B287,0)</f>
        <v/>
      </c>
      <c r="I288">
        <f>MAX(B287-B288,0)</f>
        <v/>
      </c>
      <c r="J288">
        <f>(J287*13+H288)/14</f>
        <v/>
      </c>
      <c r="K288">
        <f>(K287*13+I288)/14</f>
        <v/>
      </c>
      <c r="L288">
        <f>IF(K288=0,100,100-100/(1+J288/K288))</f>
        <v/>
      </c>
      <c r="M288">
        <f>IF(MAX(C275:C288)=MIN(D275:D288),50,100*(B288-MIN(D275:D288))/(MAX(C275:C288)-MIN(D275:D288)))</f>
        <v/>
      </c>
      <c r="N288">
        <f>AVERAGE(M286:M288)</f>
        <v/>
      </c>
      <c r="O288">
        <f>IF(ISNUMBER(L288),L288&lt;30,FALSE)</f>
        <v/>
      </c>
      <c r="P288">
        <f>IF(ISNUMBER(N288),N288&lt;20,FALSE)</f>
        <v/>
      </c>
      <c r="Q288">
        <f>IF(AND(ISNUMBER(E268),ISNUMBER(E288)),AND(E288&gt;E268,B288&lt;=E288*1.01,B287&gt;E287*1.01),FALSE)</f>
        <v/>
      </c>
      <c r="R288">
        <f>IF(AND(ISNUMBER(F268),ISNUMBER(F288)),AND(F288&gt;F268,B288&lt;=F288*1.01,B287&gt;F287*1.01),FALSE)</f>
        <v/>
      </c>
      <c r="S288">
        <f>IF(ISNUMBER(G288),B288&lt;G288,FALSE)</f>
        <v/>
      </c>
      <c r="T288">
        <f>OR(O288,P288,Q288,R288,S288)</f>
        <v/>
      </c>
    </row>
    <row r="289">
      <c r="A289">
        <f>IF(Prices!A289="","",Prices!A289)</f>
        <v/>
      </c>
      <c r="B289">
        <f>IF(Prices!E289="","",Prices!E289)</f>
        <v/>
      </c>
      <c r="C289">
        <f>IF(Prices!C289="","",Prices!C289)</f>
        <v/>
      </c>
      <c r="D289">
        <f>IF(Prices!D289="","",Prices!D289)</f>
        <v/>
      </c>
      <c r="E289">
        <f>AVERAGE(B240:B289)</f>
        <v/>
      </c>
      <c r="F289">
        <f>AVERAGE(B90:B289)</f>
        <v/>
      </c>
      <c r="G289">
        <f>AVERAGE(B270:B289)-2*STDEV.P(B270:B289)</f>
        <v/>
      </c>
      <c r="H289">
        <f>MAX(B289-B288,0)</f>
        <v/>
      </c>
      <c r="I289">
        <f>MAX(B288-B289,0)</f>
        <v/>
      </c>
      <c r="J289">
        <f>(J288*13+H289)/14</f>
        <v/>
      </c>
      <c r="K289">
        <f>(K288*13+I289)/14</f>
        <v/>
      </c>
      <c r="L289">
        <f>IF(K289=0,100,100-100/(1+J289/K289))</f>
        <v/>
      </c>
      <c r="M289">
        <f>IF(MAX(C276:C289)=MIN(D276:D289),50,100*(B289-MIN(D276:D289))/(MAX(C276:C289)-MIN(D276:D289)))</f>
        <v/>
      </c>
      <c r="N289">
        <f>AVERAGE(M287:M289)</f>
        <v/>
      </c>
      <c r="O289">
        <f>IF(ISNUMBER(L289),L289&lt;30,FALSE)</f>
        <v/>
      </c>
      <c r="P289">
        <f>IF(ISNUMBER(N289),N289&lt;20,FALSE)</f>
        <v/>
      </c>
      <c r="Q289">
        <f>IF(AND(ISNUMBER(E269),ISNUMBER(E289)),AND(E289&gt;E269,B289&lt;=E289*1.01,B288&gt;E288*1.01),FALSE)</f>
        <v/>
      </c>
      <c r="R289">
        <f>IF(AND(ISNUMBER(F269),ISNUMBER(F289)),AND(F289&gt;F269,B289&lt;=F289*1.01,B288&gt;F288*1.01),FALSE)</f>
        <v/>
      </c>
      <c r="S289">
        <f>IF(ISNUMBER(G289),B289&lt;G289,FALSE)</f>
        <v/>
      </c>
      <c r="T289">
        <f>OR(O289,P289,Q289,R289,S289)</f>
        <v/>
      </c>
    </row>
    <row r="290">
      <c r="A290">
        <f>IF(Prices!A290="","",Prices!A290)</f>
        <v/>
      </c>
      <c r="B290">
        <f>IF(Prices!E290="","",Prices!E290)</f>
        <v/>
      </c>
      <c r="C290">
        <f>IF(Prices!C290="","",Prices!C290)</f>
        <v/>
      </c>
      <c r="D290">
        <f>IF(Prices!D290="","",Prices!D290)</f>
        <v/>
      </c>
      <c r="E290">
        <f>AVERAGE(B241:B290)</f>
        <v/>
      </c>
      <c r="F290">
        <f>AVERAGE(B91:B290)</f>
        <v/>
      </c>
      <c r="G290">
        <f>AVERAGE(B271:B290)-2*STDEV.P(B271:B290)</f>
        <v/>
      </c>
      <c r="H290">
        <f>MAX(B290-B289,0)</f>
        <v/>
      </c>
      <c r="I290">
        <f>MAX(B289-B290,0)</f>
        <v/>
      </c>
      <c r="J290">
        <f>(J289*13+H290)/14</f>
        <v/>
      </c>
      <c r="K290">
        <f>(K289*13+I290)/14</f>
        <v/>
      </c>
      <c r="L290">
        <f>IF(K290=0,100,100-100/(1+J290/K290))</f>
        <v/>
      </c>
      <c r="M290">
        <f>IF(MAX(C277:C290)=MIN(D277:D290),50,100*(B290-MIN(D277:D290))/(MAX(C277:C290)-MIN(D277:D290)))</f>
        <v/>
      </c>
      <c r="N290">
        <f>AVERAGE(M288:M290)</f>
        <v/>
      </c>
      <c r="O290">
        <f>IF(ISNUMBER(L290),L290&lt;30,FALSE)</f>
        <v/>
      </c>
      <c r="P290">
        <f>IF(ISNUMBER(N290),N290&lt;20,FALSE)</f>
        <v/>
      </c>
      <c r="Q290">
        <f>IF(AND(ISNUMBER(E270),ISNUMBER(E290)),AND(E290&gt;E270,B290&lt;=E290*1.01,B289&gt;E289*1.01),FALSE)</f>
        <v/>
      </c>
      <c r="R290">
        <f>IF(AND(ISNUMBER(F270),ISNUMBER(F290)),AND(F290&gt;F270,B290&lt;=F290*1.01,B289&gt;F289*1.01),FALSE)</f>
        <v/>
      </c>
      <c r="S290">
        <f>IF(ISNUMBER(G290),B290&lt;G290,FALSE)</f>
        <v/>
      </c>
      <c r="T290">
        <f>OR(O290,P290,Q290,R290,S290)</f>
        <v/>
      </c>
    </row>
    <row r="291">
      <c r="A291">
        <f>IF(Prices!A291="","",Prices!A291)</f>
        <v/>
      </c>
      <c r="B291">
        <f>IF(Prices!E291="","",Prices!E291)</f>
        <v/>
      </c>
      <c r="C291">
        <f>IF(Prices!C291="","",Prices!C291)</f>
        <v/>
      </c>
      <c r="D291">
        <f>IF(Prices!D291="","",Prices!D291)</f>
        <v/>
      </c>
      <c r="E291">
        <f>AVERAGE(B242:B291)</f>
        <v/>
      </c>
      <c r="F291">
        <f>AVERAGE(B92:B291)</f>
        <v/>
      </c>
      <c r="G291">
        <f>AVERAGE(B272:B291)-2*STDEV.P(B272:B291)</f>
        <v/>
      </c>
      <c r="H291">
        <f>MAX(B291-B290,0)</f>
        <v/>
      </c>
      <c r="I291">
        <f>MAX(B290-B291,0)</f>
        <v/>
      </c>
      <c r="J291">
        <f>(J290*13+H291)/14</f>
        <v/>
      </c>
      <c r="K291">
        <f>(K290*13+I291)/14</f>
        <v/>
      </c>
      <c r="L291">
        <f>IF(K291=0,100,100-100/(1+J291/K291))</f>
        <v/>
      </c>
      <c r="M291">
        <f>IF(MAX(C278:C291)=MIN(D278:D291),50,100*(B291-MIN(D278:D291))/(MAX(C278:C291)-MIN(D278:D291)))</f>
        <v/>
      </c>
      <c r="N291">
        <f>AVERAGE(M289:M291)</f>
        <v/>
      </c>
      <c r="O291">
        <f>IF(ISNUMBER(L291),L291&lt;30,FALSE)</f>
        <v/>
      </c>
      <c r="P291">
        <f>IF(ISNUMBER(N291),N291&lt;20,FALSE)</f>
        <v/>
      </c>
      <c r="Q291">
        <f>IF(AND(ISNUMBER(E271),ISNUMBER(E291)),AND(E291&gt;E271,B291&lt;=E291*1.01,B290&gt;E290*1.01),FALSE)</f>
        <v/>
      </c>
      <c r="R291">
        <f>IF(AND(ISNUMBER(F271),ISNUMBER(F291)),AND(F291&gt;F271,B291&lt;=F291*1.01,B290&gt;F290*1.01),FALSE)</f>
        <v/>
      </c>
      <c r="S291">
        <f>IF(ISNUMBER(G291),B291&lt;G291,FALSE)</f>
        <v/>
      </c>
      <c r="T291">
        <f>OR(O291,P291,Q291,R291,S291)</f>
        <v/>
      </c>
    </row>
    <row r="292">
      <c r="A292">
        <f>IF(Prices!A292="","",Prices!A292)</f>
        <v/>
      </c>
      <c r="B292">
        <f>IF(Prices!E292="","",Prices!E292)</f>
        <v/>
      </c>
      <c r="C292">
        <f>IF(Prices!C292="","",Prices!C292)</f>
        <v/>
      </c>
      <c r="D292">
        <f>IF(Prices!D292="","",Prices!D292)</f>
        <v/>
      </c>
      <c r="E292">
        <f>AVERAGE(B243:B292)</f>
        <v/>
      </c>
      <c r="F292">
        <f>AVERAGE(B93:B292)</f>
        <v/>
      </c>
      <c r="G292">
        <f>AVERAGE(B273:B292)-2*STDEV.P(B273:B292)</f>
        <v/>
      </c>
      <c r="H292">
        <f>MAX(B292-B291,0)</f>
        <v/>
      </c>
      <c r="I292">
        <f>MAX(B291-B292,0)</f>
        <v/>
      </c>
      <c r="J292">
        <f>(J291*13+H292)/14</f>
        <v/>
      </c>
      <c r="K292">
        <f>(K291*13+I292)/14</f>
        <v/>
      </c>
      <c r="L292">
        <f>IF(K292=0,100,100-100/(1+J292/K292))</f>
        <v/>
      </c>
      <c r="M292">
        <f>IF(MAX(C279:C292)=MIN(D279:D292),50,100*(B292-MIN(D279:D292))/(MAX(C279:C292)-MIN(D279:D292)))</f>
        <v/>
      </c>
      <c r="N292">
        <f>AVERAGE(M290:M292)</f>
        <v/>
      </c>
      <c r="O292">
        <f>IF(ISNUMBER(L292),L292&lt;30,FALSE)</f>
        <v/>
      </c>
      <c r="P292">
        <f>IF(ISNUMBER(N292),N292&lt;20,FALSE)</f>
        <v/>
      </c>
      <c r="Q292">
        <f>IF(AND(ISNUMBER(E272),ISNUMBER(E292)),AND(E292&gt;E272,B292&lt;=E292*1.01,B291&gt;E291*1.01),FALSE)</f>
        <v/>
      </c>
      <c r="R292">
        <f>IF(AND(ISNUMBER(F272),ISNUMBER(F292)),AND(F292&gt;F272,B292&lt;=F292*1.01,B291&gt;F291*1.01),FALSE)</f>
        <v/>
      </c>
      <c r="S292">
        <f>IF(ISNUMBER(G292),B292&lt;G292,FALSE)</f>
        <v/>
      </c>
      <c r="T292">
        <f>OR(O292,P292,Q292,R292,S292)</f>
        <v/>
      </c>
    </row>
    <row r="293">
      <c r="A293">
        <f>IF(Prices!A293="","",Prices!A293)</f>
        <v/>
      </c>
      <c r="B293">
        <f>IF(Prices!E293="","",Prices!E293)</f>
        <v/>
      </c>
      <c r="C293">
        <f>IF(Prices!C293="","",Prices!C293)</f>
        <v/>
      </c>
      <c r="D293">
        <f>IF(Prices!D293="","",Prices!D293)</f>
        <v/>
      </c>
      <c r="E293">
        <f>AVERAGE(B244:B293)</f>
        <v/>
      </c>
      <c r="F293">
        <f>AVERAGE(B94:B293)</f>
        <v/>
      </c>
      <c r="G293">
        <f>AVERAGE(B274:B293)-2*STDEV.P(B274:B293)</f>
        <v/>
      </c>
      <c r="H293">
        <f>MAX(B293-B292,0)</f>
        <v/>
      </c>
      <c r="I293">
        <f>MAX(B292-B293,0)</f>
        <v/>
      </c>
      <c r="J293">
        <f>(J292*13+H293)/14</f>
        <v/>
      </c>
      <c r="K293">
        <f>(K292*13+I293)/14</f>
        <v/>
      </c>
      <c r="L293">
        <f>IF(K293=0,100,100-100/(1+J293/K293))</f>
        <v/>
      </c>
      <c r="M293">
        <f>IF(MAX(C280:C293)=MIN(D280:D293),50,100*(B293-MIN(D280:D293))/(MAX(C280:C293)-MIN(D280:D293)))</f>
        <v/>
      </c>
      <c r="N293">
        <f>AVERAGE(M291:M293)</f>
        <v/>
      </c>
      <c r="O293">
        <f>IF(ISNUMBER(L293),L293&lt;30,FALSE)</f>
        <v/>
      </c>
      <c r="P293">
        <f>IF(ISNUMBER(N293),N293&lt;20,FALSE)</f>
        <v/>
      </c>
      <c r="Q293">
        <f>IF(AND(ISNUMBER(E273),ISNUMBER(E293)),AND(E293&gt;E273,B293&lt;=E293*1.01,B292&gt;E292*1.01),FALSE)</f>
        <v/>
      </c>
      <c r="R293">
        <f>IF(AND(ISNUMBER(F273),ISNUMBER(F293)),AND(F293&gt;F273,B293&lt;=F293*1.01,B292&gt;F292*1.01),FALSE)</f>
        <v/>
      </c>
      <c r="S293">
        <f>IF(ISNUMBER(G293),B293&lt;G293,FALSE)</f>
        <v/>
      </c>
      <c r="T293">
        <f>OR(O293,P293,Q293,R293,S293)</f>
        <v/>
      </c>
    </row>
    <row r="294">
      <c r="A294">
        <f>IF(Prices!A294="","",Prices!A294)</f>
        <v/>
      </c>
      <c r="B294">
        <f>IF(Prices!E294="","",Prices!E294)</f>
        <v/>
      </c>
      <c r="C294">
        <f>IF(Prices!C294="","",Prices!C294)</f>
        <v/>
      </c>
      <c r="D294">
        <f>IF(Prices!D294="","",Prices!D294)</f>
        <v/>
      </c>
      <c r="E294">
        <f>AVERAGE(B245:B294)</f>
        <v/>
      </c>
      <c r="F294">
        <f>AVERAGE(B95:B294)</f>
        <v/>
      </c>
      <c r="G294">
        <f>AVERAGE(B275:B294)-2*STDEV.P(B275:B294)</f>
        <v/>
      </c>
      <c r="H294">
        <f>MAX(B294-B293,0)</f>
        <v/>
      </c>
      <c r="I294">
        <f>MAX(B293-B294,0)</f>
        <v/>
      </c>
      <c r="J294">
        <f>(J293*13+H294)/14</f>
        <v/>
      </c>
      <c r="K294">
        <f>(K293*13+I294)/14</f>
        <v/>
      </c>
      <c r="L294">
        <f>IF(K294=0,100,100-100/(1+J294/K294))</f>
        <v/>
      </c>
      <c r="M294">
        <f>IF(MAX(C281:C294)=MIN(D281:D294),50,100*(B294-MIN(D281:D294))/(MAX(C281:C294)-MIN(D281:D294)))</f>
        <v/>
      </c>
      <c r="N294">
        <f>AVERAGE(M292:M294)</f>
        <v/>
      </c>
      <c r="O294">
        <f>IF(ISNUMBER(L294),L294&lt;30,FALSE)</f>
        <v/>
      </c>
      <c r="P294">
        <f>IF(ISNUMBER(N294),N294&lt;20,FALSE)</f>
        <v/>
      </c>
      <c r="Q294">
        <f>IF(AND(ISNUMBER(E274),ISNUMBER(E294)),AND(E294&gt;E274,B294&lt;=E294*1.01,B293&gt;E293*1.01),FALSE)</f>
        <v/>
      </c>
      <c r="R294">
        <f>IF(AND(ISNUMBER(F274),ISNUMBER(F294)),AND(F294&gt;F274,B294&lt;=F294*1.01,B293&gt;F293*1.01),FALSE)</f>
        <v/>
      </c>
      <c r="S294">
        <f>IF(ISNUMBER(G294),B294&lt;G294,FALSE)</f>
        <v/>
      </c>
      <c r="T294">
        <f>OR(O294,P294,Q294,R294,S294)</f>
        <v/>
      </c>
    </row>
    <row r="295">
      <c r="A295">
        <f>IF(Prices!A295="","",Prices!A295)</f>
        <v/>
      </c>
      <c r="B295">
        <f>IF(Prices!E295="","",Prices!E295)</f>
        <v/>
      </c>
      <c r="C295">
        <f>IF(Prices!C295="","",Prices!C295)</f>
        <v/>
      </c>
      <c r="D295">
        <f>IF(Prices!D295="","",Prices!D295)</f>
        <v/>
      </c>
      <c r="E295">
        <f>AVERAGE(B246:B295)</f>
        <v/>
      </c>
      <c r="F295">
        <f>AVERAGE(B96:B295)</f>
        <v/>
      </c>
      <c r="G295">
        <f>AVERAGE(B276:B295)-2*STDEV.P(B276:B295)</f>
        <v/>
      </c>
      <c r="H295">
        <f>MAX(B295-B294,0)</f>
        <v/>
      </c>
      <c r="I295">
        <f>MAX(B294-B295,0)</f>
        <v/>
      </c>
      <c r="J295">
        <f>(J294*13+H295)/14</f>
        <v/>
      </c>
      <c r="K295">
        <f>(K294*13+I295)/14</f>
        <v/>
      </c>
      <c r="L295">
        <f>IF(K295=0,100,100-100/(1+J295/K295))</f>
        <v/>
      </c>
      <c r="M295">
        <f>IF(MAX(C282:C295)=MIN(D282:D295),50,100*(B295-MIN(D282:D295))/(MAX(C282:C295)-MIN(D282:D295)))</f>
        <v/>
      </c>
      <c r="N295">
        <f>AVERAGE(M293:M295)</f>
        <v/>
      </c>
      <c r="O295">
        <f>IF(ISNUMBER(L295),L295&lt;30,FALSE)</f>
        <v/>
      </c>
      <c r="P295">
        <f>IF(ISNUMBER(N295),N295&lt;20,FALSE)</f>
        <v/>
      </c>
      <c r="Q295">
        <f>IF(AND(ISNUMBER(E275),ISNUMBER(E295)),AND(E295&gt;E275,B295&lt;=E295*1.01,B294&gt;E294*1.01),FALSE)</f>
        <v/>
      </c>
      <c r="R295">
        <f>IF(AND(ISNUMBER(F275),ISNUMBER(F295)),AND(F295&gt;F275,B295&lt;=F295*1.01,B294&gt;F294*1.01),FALSE)</f>
        <v/>
      </c>
      <c r="S295">
        <f>IF(ISNUMBER(G295),B295&lt;G295,FALSE)</f>
        <v/>
      </c>
      <c r="T295">
        <f>OR(O295,P295,Q295,R295,S295)</f>
        <v/>
      </c>
    </row>
    <row r="296">
      <c r="A296">
        <f>IF(Prices!A296="","",Prices!A296)</f>
        <v/>
      </c>
      <c r="B296">
        <f>IF(Prices!E296="","",Prices!E296)</f>
        <v/>
      </c>
      <c r="C296">
        <f>IF(Prices!C296="","",Prices!C296)</f>
        <v/>
      </c>
      <c r="D296">
        <f>IF(Prices!D296="","",Prices!D296)</f>
        <v/>
      </c>
      <c r="E296">
        <f>AVERAGE(B247:B296)</f>
        <v/>
      </c>
      <c r="F296">
        <f>AVERAGE(B97:B296)</f>
        <v/>
      </c>
      <c r="G296">
        <f>AVERAGE(B277:B296)-2*STDEV.P(B277:B296)</f>
        <v/>
      </c>
      <c r="H296">
        <f>MAX(B296-B295,0)</f>
        <v/>
      </c>
      <c r="I296">
        <f>MAX(B295-B296,0)</f>
        <v/>
      </c>
      <c r="J296">
        <f>(J295*13+H296)/14</f>
        <v/>
      </c>
      <c r="K296">
        <f>(K295*13+I296)/14</f>
        <v/>
      </c>
      <c r="L296">
        <f>IF(K296=0,100,100-100/(1+J296/K296))</f>
        <v/>
      </c>
      <c r="M296">
        <f>IF(MAX(C283:C296)=MIN(D283:D296),50,100*(B296-MIN(D283:D296))/(MAX(C283:C296)-MIN(D283:D296)))</f>
        <v/>
      </c>
      <c r="N296">
        <f>AVERAGE(M294:M296)</f>
        <v/>
      </c>
      <c r="O296">
        <f>IF(ISNUMBER(L296),L296&lt;30,FALSE)</f>
        <v/>
      </c>
      <c r="P296">
        <f>IF(ISNUMBER(N296),N296&lt;20,FALSE)</f>
        <v/>
      </c>
      <c r="Q296">
        <f>IF(AND(ISNUMBER(E276),ISNUMBER(E296)),AND(E296&gt;E276,B296&lt;=E296*1.01,B295&gt;E295*1.01),FALSE)</f>
        <v/>
      </c>
      <c r="R296">
        <f>IF(AND(ISNUMBER(F276),ISNUMBER(F296)),AND(F296&gt;F276,B296&lt;=F296*1.01,B295&gt;F295*1.01),FALSE)</f>
        <v/>
      </c>
      <c r="S296">
        <f>IF(ISNUMBER(G296),B296&lt;G296,FALSE)</f>
        <v/>
      </c>
      <c r="T296">
        <f>OR(O296,P296,Q296,R296,S296)</f>
        <v/>
      </c>
    </row>
    <row r="297">
      <c r="A297">
        <f>IF(Prices!A297="","",Prices!A297)</f>
        <v/>
      </c>
      <c r="B297">
        <f>IF(Prices!E297="","",Prices!E297)</f>
        <v/>
      </c>
      <c r="C297">
        <f>IF(Prices!C297="","",Prices!C297)</f>
        <v/>
      </c>
      <c r="D297">
        <f>IF(Prices!D297="","",Prices!D297)</f>
        <v/>
      </c>
      <c r="E297">
        <f>AVERAGE(B248:B297)</f>
        <v/>
      </c>
      <c r="F297">
        <f>AVERAGE(B98:B297)</f>
        <v/>
      </c>
      <c r="G297">
        <f>AVERAGE(B278:B297)-2*STDEV.P(B278:B297)</f>
        <v/>
      </c>
      <c r="H297">
        <f>MAX(B297-B296,0)</f>
        <v/>
      </c>
      <c r="I297">
        <f>MAX(B296-B297,0)</f>
        <v/>
      </c>
      <c r="J297">
        <f>(J296*13+H297)/14</f>
        <v/>
      </c>
      <c r="K297">
        <f>(K296*13+I297)/14</f>
        <v/>
      </c>
      <c r="L297">
        <f>IF(K297=0,100,100-100/(1+J297/K297))</f>
        <v/>
      </c>
      <c r="M297">
        <f>IF(MAX(C284:C297)=MIN(D284:D297),50,100*(B297-MIN(D284:D297))/(MAX(C284:C297)-MIN(D284:D297)))</f>
        <v/>
      </c>
      <c r="N297">
        <f>AVERAGE(M295:M297)</f>
        <v/>
      </c>
      <c r="O297">
        <f>IF(ISNUMBER(L297),L297&lt;30,FALSE)</f>
        <v/>
      </c>
      <c r="P297">
        <f>IF(ISNUMBER(N297),N297&lt;20,FALSE)</f>
        <v/>
      </c>
      <c r="Q297">
        <f>IF(AND(ISNUMBER(E277),ISNUMBER(E297)),AND(E297&gt;E277,B297&lt;=E297*1.01,B296&gt;E296*1.01),FALSE)</f>
        <v/>
      </c>
      <c r="R297">
        <f>IF(AND(ISNUMBER(F277),ISNUMBER(F297)),AND(F297&gt;F277,B297&lt;=F297*1.01,B296&gt;F296*1.01),FALSE)</f>
        <v/>
      </c>
      <c r="S297">
        <f>IF(ISNUMBER(G297),B297&lt;G297,FALSE)</f>
        <v/>
      </c>
      <c r="T297">
        <f>OR(O297,P297,Q297,R297,S297)</f>
        <v/>
      </c>
    </row>
    <row r="298">
      <c r="A298">
        <f>IF(Prices!A298="","",Prices!A298)</f>
        <v/>
      </c>
      <c r="B298">
        <f>IF(Prices!E298="","",Prices!E298)</f>
        <v/>
      </c>
      <c r="C298">
        <f>IF(Prices!C298="","",Prices!C298)</f>
        <v/>
      </c>
      <c r="D298">
        <f>IF(Prices!D298="","",Prices!D298)</f>
        <v/>
      </c>
      <c r="E298">
        <f>AVERAGE(B249:B298)</f>
        <v/>
      </c>
      <c r="F298">
        <f>AVERAGE(B99:B298)</f>
        <v/>
      </c>
      <c r="G298">
        <f>AVERAGE(B279:B298)-2*STDEV.P(B279:B298)</f>
        <v/>
      </c>
      <c r="H298">
        <f>MAX(B298-B297,0)</f>
        <v/>
      </c>
      <c r="I298">
        <f>MAX(B297-B298,0)</f>
        <v/>
      </c>
      <c r="J298">
        <f>(J297*13+H298)/14</f>
        <v/>
      </c>
      <c r="K298">
        <f>(K297*13+I298)/14</f>
        <v/>
      </c>
      <c r="L298">
        <f>IF(K298=0,100,100-100/(1+J298/K298))</f>
        <v/>
      </c>
      <c r="M298">
        <f>IF(MAX(C285:C298)=MIN(D285:D298),50,100*(B298-MIN(D285:D298))/(MAX(C285:C298)-MIN(D285:D298)))</f>
        <v/>
      </c>
      <c r="N298">
        <f>AVERAGE(M296:M298)</f>
        <v/>
      </c>
      <c r="O298">
        <f>IF(ISNUMBER(L298),L298&lt;30,FALSE)</f>
        <v/>
      </c>
      <c r="P298">
        <f>IF(ISNUMBER(N298),N298&lt;20,FALSE)</f>
        <v/>
      </c>
      <c r="Q298">
        <f>IF(AND(ISNUMBER(E278),ISNUMBER(E298)),AND(E298&gt;E278,B298&lt;=E298*1.01,B297&gt;E297*1.01),FALSE)</f>
        <v/>
      </c>
      <c r="R298">
        <f>IF(AND(ISNUMBER(F278),ISNUMBER(F298)),AND(F298&gt;F278,B298&lt;=F298*1.01,B297&gt;F297*1.01),FALSE)</f>
        <v/>
      </c>
      <c r="S298">
        <f>IF(ISNUMBER(G298),B298&lt;G298,FALSE)</f>
        <v/>
      </c>
      <c r="T298">
        <f>OR(O298,P298,Q298,R298,S298)</f>
        <v/>
      </c>
    </row>
    <row r="299">
      <c r="A299">
        <f>IF(Prices!A299="","",Prices!A299)</f>
        <v/>
      </c>
      <c r="B299">
        <f>IF(Prices!E299="","",Prices!E299)</f>
        <v/>
      </c>
      <c r="C299">
        <f>IF(Prices!C299="","",Prices!C299)</f>
        <v/>
      </c>
      <c r="D299">
        <f>IF(Prices!D299="","",Prices!D299)</f>
        <v/>
      </c>
      <c r="E299">
        <f>AVERAGE(B250:B299)</f>
        <v/>
      </c>
      <c r="F299">
        <f>AVERAGE(B100:B299)</f>
        <v/>
      </c>
      <c r="G299">
        <f>AVERAGE(B280:B299)-2*STDEV.P(B280:B299)</f>
        <v/>
      </c>
      <c r="H299">
        <f>MAX(B299-B298,0)</f>
        <v/>
      </c>
      <c r="I299">
        <f>MAX(B298-B299,0)</f>
        <v/>
      </c>
      <c r="J299">
        <f>(J298*13+H299)/14</f>
        <v/>
      </c>
      <c r="K299">
        <f>(K298*13+I299)/14</f>
        <v/>
      </c>
      <c r="L299">
        <f>IF(K299=0,100,100-100/(1+J299/K299))</f>
        <v/>
      </c>
      <c r="M299">
        <f>IF(MAX(C286:C299)=MIN(D286:D299),50,100*(B299-MIN(D286:D299))/(MAX(C286:C299)-MIN(D286:D299)))</f>
        <v/>
      </c>
      <c r="N299">
        <f>AVERAGE(M297:M299)</f>
        <v/>
      </c>
      <c r="O299">
        <f>IF(ISNUMBER(L299),L299&lt;30,FALSE)</f>
        <v/>
      </c>
      <c r="P299">
        <f>IF(ISNUMBER(N299),N299&lt;20,FALSE)</f>
        <v/>
      </c>
      <c r="Q299">
        <f>IF(AND(ISNUMBER(E279),ISNUMBER(E299)),AND(E299&gt;E279,B299&lt;=E299*1.01,B298&gt;E298*1.01),FALSE)</f>
        <v/>
      </c>
      <c r="R299">
        <f>IF(AND(ISNUMBER(F279),ISNUMBER(F299)),AND(F299&gt;F279,B299&lt;=F299*1.01,B298&gt;F298*1.01),FALSE)</f>
        <v/>
      </c>
      <c r="S299">
        <f>IF(ISNUMBER(G299),B299&lt;G299,FALSE)</f>
        <v/>
      </c>
      <c r="T299">
        <f>OR(O299,P299,Q299,R299,S299)</f>
        <v/>
      </c>
    </row>
    <row r="300">
      <c r="A300">
        <f>IF(Prices!A300="","",Prices!A300)</f>
        <v/>
      </c>
      <c r="B300">
        <f>IF(Prices!E300="","",Prices!E300)</f>
        <v/>
      </c>
      <c r="C300">
        <f>IF(Prices!C300="","",Prices!C300)</f>
        <v/>
      </c>
      <c r="D300">
        <f>IF(Prices!D300="","",Prices!D300)</f>
        <v/>
      </c>
      <c r="E300">
        <f>AVERAGE(B251:B300)</f>
        <v/>
      </c>
      <c r="F300">
        <f>AVERAGE(B101:B300)</f>
        <v/>
      </c>
      <c r="G300">
        <f>AVERAGE(B281:B300)-2*STDEV.P(B281:B300)</f>
        <v/>
      </c>
      <c r="H300">
        <f>MAX(B300-B299,0)</f>
        <v/>
      </c>
      <c r="I300">
        <f>MAX(B299-B300,0)</f>
        <v/>
      </c>
      <c r="J300">
        <f>(J299*13+H300)/14</f>
        <v/>
      </c>
      <c r="K300">
        <f>(K299*13+I300)/14</f>
        <v/>
      </c>
      <c r="L300">
        <f>IF(K300=0,100,100-100/(1+J300/K300))</f>
        <v/>
      </c>
      <c r="M300">
        <f>IF(MAX(C287:C300)=MIN(D287:D300),50,100*(B300-MIN(D287:D300))/(MAX(C287:C300)-MIN(D287:D300)))</f>
        <v/>
      </c>
      <c r="N300">
        <f>AVERAGE(M298:M300)</f>
        <v/>
      </c>
      <c r="O300">
        <f>IF(ISNUMBER(L300),L300&lt;30,FALSE)</f>
        <v/>
      </c>
      <c r="P300">
        <f>IF(ISNUMBER(N300),N300&lt;20,FALSE)</f>
        <v/>
      </c>
      <c r="Q300">
        <f>IF(AND(ISNUMBER(E280),ISNUMBER(E300)),AND(E300&gt;E280,B300&lt;=E300*1.01,B299&gt;E299*1.01),FALSE)</f>
        <v/>
      </c>
      <c r="R300">
        <f>IF(AND(ISNUMBER(F280),ISNUMBER(F300)),AND(F300&gt;F280,B300&lt;=F300*1.01,B299&gt;F299*1.01),FALSE)</f>
        <v/>
      </c>
      <c r="S300">
        <f>IF(ISNUMBER(G300),B300&lt;G300,FALSE)</f>
        <v/>
      </c>
      <c r="T300">
        <f>OR(O300,P300,Q300,R300,S300)</f>
        <v/>
      </c>
    </row>
    <row r="301">
      <c r="A301">
        <f>IF(Prices!A301="","",Prices!A301)</f>
        <v/>
      </c>
      <c r="B301">
        <f>IF(Prices!E301="","",Prices!E301)</f>
        <v/>
      </c>
      <c r="C301">
        <f>IF(Prices!C301="","",Prices!C301)</f>
        <v/>
      </c>
      <c r="D301">
        <f>IF(Prices!D301="","",Prices!D301)</f>
        <v/>
      </c>
      <c r="E301">
        <f>AVERAGE(B252:B301)</f>
        <v/>
      </c>
      <c r="F301">
        <f>AVERAGE(B102:B301)</f>
        <v/>
      </c>
      <c r="G301">
        <f>AVERAGE(B282:B301)-2*STDEV.P(B282:B301)</f>
        <v/>
      </c>
      <c r="H301">
        <f>MAX(B301-B300,0)</f>
        <v/>
      </c>
      <c r="I301">
        <f>MAX(B300-B301,0)</f>
        <v/>
      </c>
      <c r="J301">
        <f>(J300*13+H301)/14</f>
        <v/>
      </c>
      <c r="K301">
        <f>(K300*13+I301)/14</f>
        <v/>
      </c>
      <c r="L301">
        <f>IF(K301=0,100,100-100/(1+J301/K301))</f>
        <v/>
      </c>
      <c r="M301">
        <f>IF(MAX(C288:C301)=MIN(D288:D301),50,100*(B301-MIN(D288:D301))/(MAX(C288:C301)-MIN(D288:D301)))</f>
        <v/>
      </c>
      <c r="N301">
        <f>AVERAGE(M299:M301)</f>
        <v/>
      </c>
      <c r="O301">
        <f>IF(ISNUMBER(L301),L301&lt;30,FALSE)</f>
        <v/>
      </c>
      <c r="P301">
        <f>IF(ISNUMBER(N301),N301&lt;20,FALSE)</f>
        <v/>
      </c>
      <c r="Q301">
        <f>IF(AND(ISNUMBER(E281),ISNUMBER(E301)),AND(E301&gt;E281,B301&lt;=E301*1.01,B300&gt;E300*1.01),FALSE)</f>
        <v/>
      </c>
      <c r="R301">
        <f>IF(AND(ISNUMBER(F281),ISNUMBER(F301)),AND(F301&gt;F281,B301&lt;=F301*1.01,B300&gt;F300*1.01),FALSE)</f>
        <v/>
      </c>
      <c r="S301">
        <f>IF(ISNUMBER(G301),B301&lt;G301,FALSE)</f>
        <v/>
      </c>
      <c r="T301">
        <f>OR(O301,P301,Q301,R301,S301)</f>
        <v/>
      </c>
    </row>
    <row r="302">
      <c r="A302">
        <f>IF(Prices!A302="","",Prices!A302)</f>
        <v/>
      </c>
      <c r="B302">
        <f>IF(Prices!E302="","",Prices!E302)</f>
        <v/>
      </c>
      <c r="C302">
        <f>IF(Prices!C302="","",Prices!C302)</f>
        <v/>
      </c>
      <c r="D302">
        <f>IF(Prices!D302="","",Prices!D302)</f>
        <v/>
      </c>
      <c r="E302">
        <f>AVERAGE(B253:B302)</f>
        <v/>
      </c>
      <c r="F302">
        <f>AVERAGE(B103:B302)</f>
        <v/>
      </c>
      <c r="G302">
        <f>AVERAGE(B283:B302)-2*STDEV.P(B283:B302)</f>
        <v/>
      </c>
      <c r="H302">
        <f>MAX(B302-B301,0)</f>
        <v/>
      </c>
      <c r="I302">
        <f>MAX(B301-B302,0)</f>
        <v/>
      </c>
      <c r="J302">
        <f>(J301*13+H302)/14</f>
        <v/>
      </c>
      <c r="K302">
        <f>(K301*13+I302)/14</f>
        <v/>
      </c>
      <c r="L302">
        <f>IF(K302=0,100,100-100/(1+J302/K302))</f>
        <v/>
      </c>
      <c r="M302">
        <f>IF(MAX(C289:C302)=MIN(D289:D302),50,100*(B302-MIN(D289:D302))/(MAX(C289:C302)-MIN(D289:D302)))</f>
        <v/>
      </c>
      <c r="N302">
        <f>AVERAGE(M300:M302)</f>
        <v/>
      </c>
      <c r="O302">
        <f>IF(ISNUMBER(L302),L302&lt;30,FALSE)</f>
        <v/>
      </c>
      <c r="P302">
        <f>IF(ISNUMBER(N302),N302&lt;20,FALSE)</f>
        <v/>
      </c>
      <c r="Q302">
        <f>IF(AND(ISNUMBER(E282),ISNUMBER(E302)),AND(E302&gt;E282,B302&lt;=E302*1.01,B301&gt;E301*1.01),FALSE)</f>
        <v/>
      </c>
      <c r="R302">
        <f>IF(AND(ISNUMBER(F282),ISNUMBER(F302)),AND(F302&gt;F282,B302&lt;=F302*1.01,B301&gt;F301*1.01),FALSE)</f>
        <v/>
      </c>
      <c r="S302">
        <f>IF(ISNUMBER(G302),B302&lt;G302,FALSE)</f>
        <v/>
      </c>
      <c r="T302">
        <f>OR(O302,P302,Q302,R302,S302)</f>
        <v/>
      </c>
    </row>
    <row r="303">
      <c r="A303">
        <f>IF(Prices!A303="","",Prices!A303)</f>
        <v/>
      </c>
      <c r="B303">
        <f>IF(Prices!E303="","",Prices!E303)</f>
        <v/>
      </c>
      <c r="C303">
        <f>IF(Prices!C303="","",Prices!C303)</f>
        <v/>
      </c>
      <c r="D303">
        <f>IF(Prices!D303="","",Prices!D303)</f>
        <v/>
      </c>
      <c r="E303">
        <f>AVERAGE(B254:B303)</f>
        <v/>
      </c>
      <c r="F303">
        <f>AVERAGE(B104:B303)</f>
        <v/>
      </c>
      <c r="G303">
        <f>AVERAGE(B284:B303)-2*STDEV.P(B284:B303)</f>
        <v/>
      </c>
      <c r="H303">
        <f>MAX(B303-B302,0)</f>
        <v/>
      </c>
      <c r="I303">
        <f>MAX(B302-B303,0)</f>
        <v/>
      </c>
      <c r="J303">
        <f>(J302*13+H303)/14</f>
        <v/>
      </c>
      <c r="K303">
        <f>(K302*13+I303)/14</f>
        <v/>
      </c>
      <c r="L303">
        <f>IF(K303=0,100,100-100/(1+J303/K303))</f>
        <v/>
      </c>
      <c r="M303">
        <f>IF(MAX(C290:C303)=MIN(D290:D303),50,100*(B303-MIN(D290:D303))/(MAX(C290:C303)-MIN(D290:D303)))</f>
        <v/>
      </c>
      <c r="N303">
        <f>AVERAGE(M301:M303)</f>
        <v/>
      </c>
      <c r="O303">
        <f>IF(ISNUMBER(L303),L303&lt;30,FALSE)</f>
        <v/>
      </c>
      <c r="P303">
        <f>IF(ISNUMBER(N303),N303&lt;20,FALSE)</f>
        <v/>
      </c>
      <c r="Q303">
        <f>IF(AND(ISNUMBER(E283),ISNUMBER(E303)),AND(E303&gt;E283,B303&lt;=E303*1.01,B302&gt;E302*1.01),FALSE)</f>
        <v/>
      </c>
      <c r="R303">
        <f>IF(AND(ISNUMBER(F283),ISNUMBER(F303)),AND(F303&gt;F283,B303&lt;=F303*1.01,B302&gt;F302*1.01),FALSE)</f>
        <v/>
      </c>
      <c r="S303">
        <f>IF(ISNUMBER(G303),B303&lt;G303,FALSE)</f>
        <v/>
      </c>
      <c r="T303">
        <f>OR(O303,P303,Q303,R303,S303)</f>
        <v/>
      </c>
    </row>
    <row r="304">
      <c r="A304">
        <f>IF(Prices!A304="","",Prices!A304)</f>
        <v/>
      </c>
      <c r="B304">
        <f>IF(Prices!E304="","",Prices!E304)</f>
        <v/>
      </c>
      <c r="C304">
        <f>IF(Prices!C304="","",Prices!C304)</f>
        <v/>
      </c>
      <c r="D304">
        <f>IF(Prices!D304="","",Prices!D304)</f>
        <v/>
      </c>
      <c r="E304">
        <f>AVERAGE(B255:B304)</f>
        <v/>
      </c>
      <c r="F304">
        <f>AVERAGE(B105:B304)</f>
        <v/>
      </c>
      <c r="G304">
        <f>AVERAGE(B285:B304)-2*STDEV.P(B285:B304)</f>
        <v/>
      </c>
      <c r="H304">
        <f>MAX(B304-B303,0)</f>
        <v/>
      </c>
      <c r="I304">
        <f>MAX(B303-B304,0)</f>
        <v/>
      </c>
      <c r="J304">
        <f>(J303*13+H304)/14</f>
        <v/>
      </c>
      <c r="K304">
        <f>(K303*13+I304)/14</f>
        <v/>
      </c>
      <c r="L304">
        <f>IF(K304=0,100,100-100/(1+J304/K304))</f>
        <v/>
      </c>
      <c r="M304">
        <f>IF(MAX(C291:C304)=MIN(D291:D304),50,100*(B304-MIN(D291:D304))/(MAX(C291:C304)-MIN(D291:D304)))</f>
        <v/>
      </c>
      <c r="N304">
        <f>AVERAGE(M302:M304)</f>
        <v/>
      </c>
      <c r="O304">
        <f>IF(ISNUMBER(L304),L304&lt;30,FALSE)</f>
        <v/>
      </c>
      <c r="P304">
        <f>IF(ISNUMBER(N304),N304&lt;20,FALSE)</f>
        <v/>
      </c>
      <c r="Q304">
        <f>IF(AND(ISNUMBER(E284),ISNUMBER(E304)),AND(E304&gt;E284,B304&lt;=E304*1.01,B303&gt;E303*1.01),FALSE)</f>
        <v/>
      </c>
      <c r="R304">
        <f>IF(AND(ISNUMBER(F284),ISNUMBER(F304)),AND(F304&gt;F284,B304&lt;=F304*1.01,B303&gt;F303*1.01),FALSE)</f>
        <v/>
      </c>
      <c r="S304">
        <f>IF(ISNUMBER(G304),B304&lt;G304,FALSE)</f>
        <v/>
      </c>
      <c r="T304">
        <f>OR(O304,P304,Q304,R304,S304)</f>
        <v/>
      </c>
    </row>
    <row r="305">
      <c r="A305">
        <f>IF(Prices!A305="","",Prices!A305)</f>
        <v/>
      </c>
      <c r="B305">
        <f>IF(Prices!E305="","",Prices!E305)</f>
        <v/>
      </c>
      <c r="C305">
        <f>IF(Prices!C305="","",Prices!C305)</f>
        <v/>
      </c>
      <c r="D305">
        <f>IF(Prices!D305="","",Prices!D305)</f>
        <v/>
      </c>
      <c r="E305">
        <f>AVERAGE(B256:B305)</f>
        <v/>
      </c>
      <c r="F305">
        <f>AVERAGE(B106:B305)</f>
        <v/>
      </c>
      <c r="G305">
        <f>AVERAGE(B286:B305)-2*STDEV.P(B286:B305)</f>
        <v/>
      </c>
      <c r="H305">
        <f>MAX(B305-B304,0)</f>
        <v/>
      </c>
      <c r="I305">
        <f>MAX(B304-B305,0)</f>
        <v/>
      </c>
      <c r="J305">
        <f>(J304*13+H305)/14</f>
        <v/>
      </c>
      <c r="K305">
        <f>(K304*13+I305)/14</f>
        <v/>
      </c>
      <c r="L305">
        <f>IF(K305=0,100,100-100/(1+J305/K305))</f>
        <v/>
      </c>
      <c r="M305">
        <f>IF(MAX(C292:C305)=MIN(D292:D305),50,100*(B305-MIN(D292:D305))/(MAX(C292:C305)-MIN(D292:D305)))</f>
        <v/>
      </c>
      <c r="N305">
        <f>AVERAGE(M303:M305)</f>
        <v/>
      </c>
      <c r="O305">
        <f>IF(ISNUMBER(L305),L305&lt;30,FALSE)</f>
        <v/>
      </c>
      <c r="P305">
        <f>IF(ISNUMBER(N305),N305&lt;20,FALSE)</f>
        <v/>
      </c>
      <c r="Q305">
        <f>IF(AND(ISNUMBER(E285),ISNUMBER(E305)),AND(E305&gt;E285,B305&lt;=E305*1.01,B304&gt;E304*1.01),FALSE)</f>
        <v/>
      </c>
      <c r="R305">
        <f>IF(AND(ISNUMBER(F285),ISNUMBER(F305)),AND(F305&gt;F285,B305&lt;=F305*1.01,B304&gt;F304*1.01),FALSE)</f>
        <v/>
      </c>
      <c r="S305">
        <f>IF(ISNUMBER(G305),B305&lt;G305,FALSE)</f>
        <v/>
      </c>
      <c r="T305">
        <f>OR(O305,P305,Q305,R305,S305)</f>
        <v/>
      </c>
    </row>
    <row r="306">
      <c r="A306">
        <f>IF(Prices!A306="","",Prices!A306)</f>
        <v/>
      </c>
      <c r="B306">
        <f>IF(Prices!E306="","",Prices!E306)</f>
        <v/>
      </c>
      <c r="C306">
        <f>IF(Prices!C306="","",Prices!C306)</f>
        <v/>
      </c>
      <c r="D306">
        <f>IF(Prices!D306="","",Prices!D306)</f>
        <v/>
      </c>
      <c r="E306">
        <f>AVERAGE(B257:B306)</f>
        <v/>
      </c>
      <c r="F306">
        <f>AVERAGE(B107:B306)</f>
        <v/>
      </c>
      <c r="G306">
        <f>AVERAGE(B287:B306)-2*STDEV.P(B287:B306)</f>
        <v/>
      </c>
      <c r="H306">
        <f>MAX(B306-B305,0)</f>
        <v/>
      </c>
      <c r="I306">
        <f>MAX(B305-B306,0)</f>
        <v/>
      </c>
      <c r="J306">
        <f>(J305*13+H306)/14</f>
        <v/>
      </c>
      <c r="K306">
        <f>(K305*13+I306)/14</f>
        <v/>
      </c>
      <c r="L306">
        <f>IF(K306=0,100,100-100/(1+J306/K306))</f>
        <v/>
      </c>
      <c r="M306">
        <f>IF(MAX(C293:C306)=MIN(D293:D306),50,100*(B306-MIN(D293:D306))/(MAX(C293:C306)-MIN(D293:D306)))</f>
        <v/>
      </c>
      <c r="N306">
        <f>AVERAGE(M304:M306)</f>
        <v/>
      </c>
      <c r="O306">
        <f>IF(ISNUMBER(L306),L306&lt;30,FALSE)</f>
        <v/>
      </c>
      <c r="P306">
        <f>IF(ISNUMBER(N306),N306&lt;20,FALSE)</f>
        <v/>
      </c>
      <c r="Q306">
        <f>IF(AND(ISNUMBER(E286),ISNUMBER(E306)),AND(E306&gt;E286,B306&lt;=E306*1.01,B305&gt;E305*1.01),FALSE)</f>
        <v/>
      </c>
      <c r="R306">
        <f>IF(AND(ISNUMBER(F286),ISNUMBER(F306)),AND(F306&gt;F286,B306&lt;=F306*1.01,B305&gt;F305*1.01),FALSE)</f>
        <v/>
      </c>
      <c r="S306">
        <f>IF(ISNUMBER(G306),B306&lt;G306,FALSE)</f>
        <v/>
      </c>
      <c r="T306">
        <f>OR(O306,P306,Q306,R306,S306)</f>
        <v/>
      </c>
    </row>
    <row r="307">
      <c r="A307">
        <f>IF(Prices!A307="","",Prices!A307)</f>
        <v/>
      </c>
      <c r="B307">
        <f>IF(Prices!E307="","",Prices!E307)</f>
        <v/>
      </c>
      <c r="C307">
        <f>IF(Prices!C307="","",Prices!C307)</f>
        <v/>
      </c>
      <c r="D307">
        <f>IF(Prices!D307="","",Prices!D307)</f>
        <v/>
      </c>
      <c r="E307">
        <f>AVERAGE(B258:B307)</f>
        <v/>
      </c>
      <c r="F307">
        <f>AVERAGE(B108:B307)</f>
        <v/>
      </c>
      <c r="G307">
        <f>AVERAGE(B288:B307)-2*STDEV.P(B288:B307)</f>
        <v/>
      </c>
      <c r="H307">
        <f>MAX(B307-B306,0)</f>
        <v/>
      </c>
      <c r="I307">
        <f>MAX(B306-B307,0)</f>
        <v/>
      </c>
      <c r="J307">
        <f>(J306*13+H307)/14</f>
        <v/>
      </c>
      <c r="K307">
        <f>(K306*13+I307)/14</f>
        <v/>
      </c>
      <c r="L307">
        <f>IF(K307=0,100,100-100/(1+J307/K307))</f>
        <v/>
      </c>
      <c r="M307">
        <f>IF(MAX(C294:C307)=MIN(D294:D307),50,100*(B307-MIN(D294:D307))/(MAX(C294:C307)-MIN(D294:D307)))</f>
        <v/>
      </c>
      <c r="N307">
        <f>AVERAGE(M305:M307)</f>
        <v/>
      </c>
      <c r="O307">
        <f>IF(ISNUMBER(L307),L307&lt;30,FALSE)</f>
        <v/>
      </c>
      <c r="P307">
        <f>IF(ISNUMBER(N307),N307&lt;20,FALSE)</f>
        <v/>
      </c>
      <c r="Q307">
        <f>IF(AND(ISNUMBER(E287),ISNUMBER(E307)),AND(E307&gt;E287,B307&lt;=E307*1.01,B306&gt;E306*1.01),FALSE)</f>
        <v/>
      </c>
      <c r="R307">
        <f>IF(AND(ISNUMBER(F287),ISNUMBER(F307)),AND(F307&gt;F287,B307&lt;=F307*1.01,B306&gt;F306*1.01),FALSE)</f>
        <v/>
      </c>
      <c r="S307">
        <f>IF(ISNUMBER(G307),B307&lt;G307,FALSE)</f>
        <v/>
      </c>
      <c r="T307">
        <f>OR(O307,P307,Q307,R307,S307)</f>
        <v/>
      </c>
    </row>
    <row r="308">
      <c r="A308">
        <f>IF(Prices!A308="","",Prices!A308)</f>
        <v/>
      </c>
      <c r="B308">
        <f>IF(Prices!E308="","",Prices!E308)</f>
        <v/>
      </c>
      <c r="C308">
        <f>IF(Prices!C308="","",Prices!C308)</f>
        <v/>
      </c>
      <c r="D308">
        <f>IF(Prices!D308="","",Prices!D308)</f>
        <v/>
      </c>
      <c r="E308">
        <f>AVERAGE(B259:B308)</f>
        <v/>
      </c>
      <c r="F308">
        <f>AVERAGE(B109:B308)</f>
        <v/>
      </c>
      <c r="G308">
        <f>AVERAGE(B289:B308)-2*STDEV.P(B289:B308)</f>
        <v/>
      </c>
      <c r="H308">
        <f>MAX(B308-B307,0)</f>
        <v/>
      </c>
      <c r="I308">
        <f>MAX(B307-B308,0)</f>
        <v/>
      </c>
      <c r="J308">
        <f>(J307*13+H308)/14</f>
        <v/>
      </c>
      <c r="K308">
        <f>(K307*13+I308)/14</f>
        <v/>
      </c>
      <c r="L308">
        <f>IF(K308=0,100,100-100/(1+J308/K308))</f>
        <v/>
      </c>
      <c r="M308">
        <f>IF(MAX(C295:C308)=MIN(D295:D308),50,100*(B308-MIN(D295:D308))/(MAX(C295:C308)-MIN(D295:D308)))</f>
        <v/>
      </c>
      <c r="N308">
        <f>AVERAGE(M306:M308)</f>
        <v/>
      </c>
      <c r="O308">
        <f>IF(ISNUMBER(L308),L308&lt;30,FALSE)</f>
        <v/>
      </c>
      <c r="P308">
        <f>IF(ISNUMBER(N308),N308&lt;20,FALSE)</f>
        <v/>
      </c>
      <c r="Q308">
        <f>IF(AND(ISNUMBER(E288),ISNUMBER(E308)),AND(E308&gt;E288,B308&lt;=E308*1.01,B307&gt;E307*1.01),FALSE)</f>
        <v/>
      </c>
      <c r="R308">
        <f>IF(AND(ISNUMBER(F288),ISNUMBER(F308)),AND(F308&gt;F288,B308&lt;=F308*1.01,B307&gt;F307*1.01),FALSE)</f>
        <v/>
      </c>
      <c r="S308">
        <f>IF(ISNUMBER(G308),B308&lt;G308,FALSE)</f>
        <v/>
      </c>
      <c r="T308">
        <f>OR(O308,P308,Q308,R308,S308)</f>
        <v/>
      </c>
    </row>
    <row r="309">
      <c r="A309">
        <f>IF(Prices!A309="","",Prices!A309)</f>
        <v/>
      </c>
      <c r="B309">
        <f>IF(Prices!E309="","",Prices!E309)</f>
        <v/>
      </c>
      <c r="C309">
        <f>IF(Prices!C309="","",Prices!C309)</f>
        <v/>
      </c>
      <c r="D309">
        <f>IF(Prices!D309="","",Prices!D309)</f>
        <v/>
      </c>
      <c r="E309">
        <f>AVERAGE(B260:B309)</f>
        <v/>
      </c>
      <c r="F309">
        <f>AVERAGE(B110:B309)</f>
        <v/>
      </c>
      <c r="G309">
        <f>AVERAGE(B290:B309)-2*STDEV.P(B290:B309)</f>
        <v/>
      </c>
      <c r="H309">
        <f>MAX(B309-B308,0)</f>
        <v/>
      </c>
      <c r="I309">
        <f>MAX(B308-B309,0)</f>
        <v/>
      </c>
      <c r="J309">
        <f>(J308*13+H309)/14</f>
        <v/>
      </c>
      <c r="K309">
        <f>(K308*13+I309)/14</f>
        <v/>
      </c>
      <c r="L309">
        <f>IF(K309=0,100,100-100/(1+J309/K309))</f>
        <v/>
      </c>
      <c r="M309">
        <f>IF(MAX(C296:C309)=MIN(D296:D309),50,100*(B309-MIN(D296:D309))/(MAX(C296:C309)-MIN(D296:D309)))</f>
        <v/>
      </c>
      <c r="N309">
        <f>AVERAGE(M307:M309)</f>
        <v/>
      </c>
      <c r="O309">
        <f>IF(ISNUMBER(L309),L309&lt;30,FALSE)</f>
        <v/>
      </c>
      <c r="P309">
        <f>IF(ISNUMBER(N309),N309&lt;20,FALSE)</f>
        <v/>
      </c>
      <c r="Q309">
        <f>IF(AND(ISNUMBER(E289),ISNUMBER(E309)),AND(E309&gt;E289,B309&lt;=E309*1.01,B308&gt;E308*1.01),FALSE)</f>
        <v/>
      </c>
      <c r="R309">
        <f>IF(AND(ISNUMBER(F289),ISNUMBER(F309)),AND(F309&gt;F289,B309&lt;=F309*1.01,B308&gt;F308*1.01),FALSE)</f>
        <v/>
      </c>
      <c r="S309">
        <f>IF(ISNUMBER(G309),B309&lt;G309,FALSE)</f>
        <v/>
      </c>
      <c r="T309">
        <f>OR(O309,P309,Q309,R309,S309)</f>
        <v/>
      </c>
    </row>
    <row r="310">
      <c r="A310">
        <f>IF(Prices!A310="","",Prices!A310)</f>
        <v/>
      </c>
      <c r="B310">
        <f>IF(Prices!E310="","",Prices!E310)</f>
        <v/>
      </c>
      <c r="C310">
        <f>IF(Prices!C310="","",Prices!C310)</f>
        <v/>
      </c>
      <c r="D310">
        <f>IF(Prices!D310="","",Prices!D310)</f>
        <v/>
      </c>
      <c r="E310">
        <f>AVERAGE(B261:B310)</f>
        <v/>
      </c>
      <c r="F310">
        <f>AVERAGE(B111:B310)</f>
        <v/>
      </c>
      <c r="G310">
        <f>AVERAGE(B291:B310)-2*STDEV.P(B291:B310)</f>
        <v/>
      </c>
      <c r="H310">
        <f>MAX(B310-B309,0)</f>
        <v/>
      </c>
      <c r="I310">
        <f>MAX(B309-B310,0)</f>
        <v/>
      </c>
      <c r="J310">
        <f>(J309*13+H310)/14</f>
        <v/>
      </c>
      <c r="K310">
        <f>(K309*13+I310)/14</f>
        <v/>
      </c>
      <c r="L310">
        <f>IF(K310=0,100,100-100/(1+J310/K310))</f>
        <v/>
      </c>
      <c r="M310">
        <f>IF(MAX(C297:C310)=MIN(D297:D310),50,100*(B310-MIN(D297:D310))/(MAX(C297:C310)-MIN(D297:D310)))</f>
        <v/>
      </c>
      <c r="N310">
        <f>AVERAGE(M308:M310)</f>
        <v/>
      </c>
      <c r="O310">
        <f>IF(ISNUMBER(L310),L310&lt;30,FALSE)</f>
        <v/>
      </c>
      <c r="P310">
        <f>IF(ISNUMBER(N310),N310&lt;20,FALSE)</f>
        <v/>
      </c>
      <c r="Q310">
        <f>IF(AND(ISNUMBER(E290),ISNUMBER(E310)),AND(E310&gt;E290,B310&lt;=E310*1.01,B309&gt;E309*1.01),FALSE)</f>
        <v/>
      </c>
      <c r="R310">
        <f>IF(AND(ISNUMBER(F290),ISNUMBER(F310)),AND(F310&gt;F290,B310&lt;=F310*1.01,B309&gt;F309*1.01),FALSE)</f>
        <v/>
      </c>
      <c r="S310">
        <f>IF(ISNUMBER(G310),B310&lt;G310,FALSE)</f>
        <v/>
      </c>
      <c r="T310">
        <f>OR(O310,P310,Q310,R310,S310)</f>
        <v/>
      </c>
    </row>
    <row r="311">
      <c r="A311">
        <f>IF(Prices!A311="","",Prices!A311)</f>
        <v/>
      </c>
      <c r="B311">
        <f>IF(Prices!E311="","",Prices!E311)</f>
        <v/>
      </c>
      <c r="C311">
        <f>IF(Prices!C311="","",Prices!C311)</f>
        <v/>
      </c>
      <c r="D311">
        <f>IF(Prices!D311="","",Prices!D311)</f>
        <v/>
      </c>
      <c r="E311">
        <f>AVERAGE(B262:B311)</f>
        <v/>
      </c>
      <c r="F311">
        <f>AVERAGE(B112:B311)</f>
        <v/>
      </c>
      <c r="G311">
        <f>AVERAGE(B292:B311)-2*STDEV.P(B292:B311)</f>
        <v/>
      </c>
      <c r="H311">
        <f>MAX(B311-B310,0)</f>
        <v/>
      </c>
      <c r="I311">
        <f>MAX(B310-B311,0)</f>
        <v/>
      </c>
      <c r="J311">
        <f>(J310*13+H311)/14</f>
        <v/>
      </c>
      <c r="K311">
        <f>(K310*13+I311)/14</f>
        <v/>
      </c>
      <c r="L311">
        <f>IF(K311=0,100,100-100/(1+J311/K311))</f>
        <v/>
      </c>
      <c r="M311">
        <f>IF(MAX(C298:C311)=MIN(D298:D311),50,100*(B311-MIN(D298:D311))/(MAX(C298:C311)-MIN(D298:D311)))</f>
        <v/>
      </c>
      <c r="N311">
        <f>AVERAGE(M309:M311)</f>
        <v/>
      </c>
      <c r="O311">
        <f>IF(ISNUMBER(L311),L311&lt;30,FALSE)</f>
        <v/>
      </c>
      <c r="P311">
        <f>IF(ISNUMBER(N311),N311&lt;20,FALSE)</f>
        <v/>
      </c>
      <c r="Q311">
        <f>IF(AND(ISNUMBER(E291),ISNUMBER(E311)),AND(E311&gt;E291,B311&lt;=E311*1.01,B310&gt;E310*1.01),FALSE)</f>
        <v/>
      </c>
      <c r="R311">
        <f>IF(AND(ISNUMBER(F291),ISNUMBER(F311)),AND(F311&gt;F291,B311&lt;=F311*1.01,B310&gt;F310*1.01),FALSE)</f>
        <v/>
      </c>
      <c r="S311">
        <f>IF(ISNUMBER(G311),B311&lt;G311,FALSE)</f>
        <v/>
      </c>
      <c r="T311">
        <f>OR(O311,P311,Q311,R311,S311)</f>
        <v/>
      </c>
    </row>
    <row r="312">
      <c r="A312">
        <f>IF(Prices!A312="","",Prices!A312)</f>
        <v/>
      </c>
      <c r="B312">
        <f>IF(Prices!E312="","",Prices!E312)</f>
        <v/>
      </c>
      <c r="C312">
        <f>IF(Prices!C312="","",Prices!C312)</f>
        <v/>
      </c>
      <c r="D312">
        <f>IF(Prices!D312="","",Prices!D312)</f>
        <v/>
      </c>
      <c r="E312">
        <f>AVERAGE(B263:B312)</f>
        <v/>
      </c>
      <c r="F312">
        <f>AVERAGE(B113:B312)</f>
        <v/>
      </c>
      <c r="G312">
        <f>AVERAGE(B293:B312)-2*STDEV.P(B293:B312)</f>
        <v/>
      </c>
      <c r="H312">
        <f>MAX(B312-B311,0)</f>
        <v/>
      </c>
      <c r="I312">
        <f>MAX(B311-B312,0)</f>
        <v/>
      </c>
      <c r="J312">
        <f>(J311*13+H312)/14</f>
        <v/>
      </c>
      <c r="K312">
        <f>(K311*13+I312)/14</f>
        <v/>
      </c>
      <c r="L312">
        <f>IF(K312=0,100,100-100/(1+J312/K312))</f>
        <v/>
      </c>
      <c r="M312">
        <f>IF(MAX(C299:C312)=MIN(D299:D312),50,100*(B312-MIN(D299:D312))/(MAX(C299:C312)-MIN(D299:D312)))</f>
        <v/>
      </c>
      <c r="N312">
        <f>AVERAGE(M310:M312)</f>
        <v/>
      </c>
      <c r="O312">
        <f>IF(ISNUMBER(L312),L312&lt;30,FALSE)</f>
        <v/>
      </c>
      <c r="P312">
        <f>IF(ISNUMBER(N312),N312&lt;20,FALSE)</f>
        <v/>
      </c>
      <c r="Q312">
        <f>IF(AND(ISNUMBER(E292),ISNUMBER(E312)),AND(E312&gt;E292,B312&lt;=E312*1.01,B311&gt;E311*1.01),FALSE)</f>
        <v/>
      </c>
      <c r="R312">
        <f>IF(AND(ISNUMBER(F292),ISNUMBER(F312)),AND(F312&gt;F292,B312&lt;=F312*1.01,B311&gt;F311*1.01),FALSE)</f>
        <v/>
      </c>
      <c r="S312">
        <f>IF(ISNUMBER(G312),B312&lt;G312,FALSE)</f>
        <v/>
      </c>
      <c r="T312">
        <f>OR(O312,P312,Q312,R312,S312)</f>
        <v/>
      </c>
    </row>
    <row r="313">
      <c r="A313">
        <f>IF(Prices!A313="","",Prices!A313)</f>
        <v/>
      </c>
      <c r="B313">
        <f>IF(Prices!E313="","",Prices!E313)</f>
        <v/>
      </c>
      <c r="C313">
        <f>IF(Prices!C313="","",Prices!C313)</f>
        <v/>
      </c>
      <c r="D313">
        <f>IF(Prices!D313="","",Prices!D313)</f>
        <v/>
      </c>
      <c r="E313">
        <f>AVERAGE(B264:B313)</f>
        <v/>
      </c>
      <c r="F313">
        <f>AVERAGE(B114:B313)</f>
        <v/>
      </c>
      <c r="G313">
        <f>AVERAGE(B294:B313)-2*STDEV.P(B294:B313)</f>
        <v/>
      </c>
      <c r="H313">
        <f>MAX(B313-B312,0)</f>
        <v/>
      </c>
      <c r="I313">
        <f>MAX(B312-B313,0)</f>
        <v/>
      </c>
      <c r="J313">
        <f>(J312*13+H313)/14</f>
        <v/>
      </c>
      <c r="K313">
        <f>(K312*13+I313)/14</f>
        <v/>
      </c>
      <c r="L313">
        <f>IF(K313=0,100,100-100/(1+J313/K313))</f>
        <v/>
      </c>
      <c r="M313">
        <f>IF(MAX(C300:C313)=MIN(D300:D313),50,100*(B313-MIN(D300:D313))/(MAX(C300:C313)-MIN(D300:D313)))</f>
        <v/>
      </c>
      <c r="N313">
        <f>AVERAGE(M311:M313)</f>
        <v/>
      </c>
      <c r="O313">
        <f>IF(ISNUMBER(L313),L313&lt;30,FALSE)</f>
        <v/>
      </c>
      <c r="P313">
        <f>IF(ISNUMBER(N313),N313&lt;20,FALSE)</f>
        <v/>
      </c>
      <c r="Q313">
        <f>IF(AND(ISNUMBER(E293),ISNUMBER(E313)),AND(E313&gt;E293,B313&lt;=E313*1.01,B312&gt;E312*1.01),FALSE)</f>
        <v/>
      </c>
      <c r="R313">
        <f>IF(AND(ISNUMBER(F293),ISNUMBER(F313)),AND(F313&gt;F293,B313&lt;=F313*1.01,B312&gt;F312*1.01),FALSE)</f>
        <v/>
      </c>
      <c r="S313">
        <f>IF(ISNUMBER(G313),B313&lt;G313,FALSE)</f>
        <v/>
      </c>
      <c r="T313">
        <f>OR(O313,P313,Q313,R313,S313)</f>
        <v/>
      </c>
    </row>
    <row r="314">
      <c r="A314">
        <f>IF(Prices!A314="","",Prices!A314)</f>
        <v/>
      </c>
      <c r="B314">
        <f>IF(Prices!E314="","",Prices!E314)</f>
        <v/>
      </c>
      <c r="C314">
        <f>IF(Prices!C314="","",Prices!C314)</f>
        <v/>
      </c>
      <c r="D314">
        <f>IF(Prices!D314="","",Prices!D314)</f>
        <v/>
      </c>
      <c r="E314">
        <f>AVERAGE(B265:B314)</f>
        <v/>
      </c>
      <c r="F314">
        <f>AVERAGE(B115:B314)</f>
        <v/>
      </c>
      <c r="G314">
        <f>AVERAGE(B295:B314)-2*STDEV.P(B295:B314)</f>
        <v/>
      </c>
      <c r="H314">
        <f>MAX(B314-B313,0)</f>
        <v/>
      </c>
      <c r="I314">
        <f>MAX(B313-B314,0)</f>
        <v/>
      </c>
      <c r="J314">
        <f>(J313*13+H314)/14</f>
        <v/>
      </c>
      <c r="K314">
        <f>(K313*13+I314)/14</f>
        <v/>
      </c>
      <c r="L314">
        <f>IF(K314=0,100,100-100/(1+J314/K314))</f>
        <v/>
      </c>
      <c r="M314">
        <f>IF(MAX(C301:C314)=MIN(D301:D314),50,100*(B314-MIN(D301:D314))/(MAX(C301:C314)-MIN(D301:D314)))</f>
        <v/>
      </c>
      <c r="N314">
        <f>AVERAGE(M312:M314)</f>
        <v/>
      </c>
      <c r="O314">
        <f>IF(ISNUMBER(L314),L314&lt;30,FALSE)</f>
        <v/>
      </c>
      <c r="P314">
        <f>IF(ISNUMBER(N314),N314&lt;20,FALSE)</f>
        <v/>
      </c>
      <c r="Q314">
        <f>IF(AND(ISNUMBER(E294),ISNUMBER(E314)),AND(E314&gt;E294,B314&lt;=E314*1.01,B313&gt;E313*1.01),FALSE)</f>
        <v/>
      </c>
      <c r="R314">
        <f>IF(AND(ISNUMBER(F294),ISNUMBER(F314)),AND(F314&gt;F294,B314&lt;=F314*1.01,B313&gt;F313*1.01),FALSE)</f>
        <v/>
      </c>
      <c r="S314">
        <f>IF(ISNUMBER(G314),B314&lt;G314,FALSE)</f>
        <v/>
      </c>
      <c r="T314">
        <f>OR(O314,P314,Q314,R314,S314)</f>
        <v/>
      </c>
    </row>
    <row r="315">
      <c r="A315">
        <f>IF(Prices!A315="","",Prices!A315)</f>
        <v/>
      </c>
      <c r="B315">
        <f>IF(Prices!E315="","",Prices!E315)</f>
        <v/>
      </c>
      <c r="C315">
        <f>IF(Prices!C315="","",Prices!C315)</f>
        <v/>
      </c>
      <c r="D315">
        <f>IF(Prices!D315="","",Prices!D315)</f>
        <v/>
      </c>
      <c r="E315">
        <f>AVERAGE(B266:B315)</f>
        <v/>
      </c>
      <c r="F315">
        <f>AVERAGE(B116:B315)</f>
        <v/>
      </c>
      <c r="G315">
        <f>AVERAGE(B296:B315)-2*STDEV.P(B296:B315)</f>
        <v/>
      </c>
      <c r="H315">
        <f>MAX(B315-B314,0)</f>
        <v/>
      </c>
      <c r="I315">
        <f>MAX(B314-B315,0)</f>
        <v/>
      </c>
      <c r="J315">
        <f>(J314*13+H315)/14</f>
        <v/>
      </c>
      <c r="K315">
        <f>(K314*13+I315)/14</f>
        <v/>
      </c>
      <c r="L315">
        <f>IF(K315=0,100,100-100/(1+J315/K315))</f>
        <v/>
      </c>
      <c r="M315">
        <f>IF(MAX(C302:C315)=MIN(D302:D315),50,100*(B315-MIN(D302:D315))/(MAX(C302:C315)-MIN(D302:D315)))</f>
        <v/>
      </c>
      <c r="N315">
        <f>AVERAGE(M313:M315)</f>
        <v/>
      </c>
      <c r="O315">
        <f>IF(ISNUMBER(L315),L315&lt;30,FALSE)</f>
        <v/>
      </c>
      <c r="P315">
        <f>IF(ISNUMBER(N315),N315&lt;20,FALSE)</f>
        <v/>
      </c>
      <c r="Q315">
        <f>IF(AND(ISNUMBER(E295),ISNUMBER(E315)),AND(E315&gt;E295,B315&lt;=E315*1.01,B314&gt;E314*1.01),FALSE)</f>
        <v/>
      </c>
      <c r="R315">
        <f>IF(AND(ISNUMBER(F295),ISNUMBER(F315)),AND(F315&gt;F295,B315&lt;=F315*1.01,B314&gt;F314*1.01),FALSE)</f>
        <v/>
      </c>
      <c r="S315">
        <f>IF(ISNUMBER(G315),B315&lt;G315,FALSE)</f>
        <v/>
      </c>
      <c r="T315">
        <f>OR(O315,P315,Q315,R315,S315)</f>
        <v/>
      </c>
    </row>
    <row r="316">
      <c r="A316">
        <f>IF(Prices!A316="","",Prices!A316)</f>
        <v/>
      </c>
      <c r="B316">
        <f>IF(Prices!E316="","",Prices!E316)</f>
        <v/>
      </c>
      <c r="C316">
        <f>IF(Prices!C316="","",Prices!C316)</f>
        <v/>
      </c>
      <c r="D316">
        <f>IF(Prices!D316="","",Prices!D316)</f>
        <v/>
      </c>
      <c r="E316">
        <f>AVERAGE(B267:B316)</f>
        <v/>
      </c>
      <c r="F316">
        <f>AVERAGE(B117:B316)</f>
        <v/>
      </c>
      <c r="G316">
        <f>AVERAGE(B297:B316)-2*STDEV.P(B297:B316)</f>
        <v/>
      </c>
      <c r="H316">
        <f>MAX(B316-B315,0)</f>
        <v/>
      </c>
      <c r="I316">
        <f>MAX(B315-B316,0)</f>
        <v/>
      </c>
      <c r="J316">
        <f>(J315*13+H316)/14</f>
        <v/>
      </c>
      <c r="K316">
        <f>(K315*13+I316)/14</f>
        <v/>
      </c>
      <c r="L316">
        <f>IF(K316=0,100,100-100/(1+J316/K316))</f>
        <v/>
      </c>
      <c r="M316">
        <f>IF(MAX(C303:C316)=MIN(D303:D316),50,100*(B316-MIN(D303:D316))/(MAX(C303:C316)-MIN(D303:D316)))</f>
        <v/>
      </c>
      <c r="N316">
        <f>AVERAGE(M314:M316)</f>
        <v/>
      </c>
      <c r="O316">
        <f>IF(ISNUMBER(L316),L316&lt;30,FALSE)</f>
        <v/>
      </c>
      <c r="P316">
        <f>IF(ISNUMBER(N316),N316&lt;20,FALSE)</f>
        <v/>
      </c>
      <c r="Q316">
        <f>IF(AND(ISNUMBER(E296),ISNUMBER(E316)),AND(E316&gt;E296,B316&lt;=E316*1.01,B315&gt;E315*1.01),FALSE)</f>
        <v/>
      </c>
      <c r="R316">
        <f>IF(AND(ISNUMBER(F296),ISNUMBER(F316)),AND(F316&gt;F296,B316&lt;=F316*1.01,B315&gt;F315*1.01),FALSE)</f>
        <v/>
      </c>
      <c r="S316">
        <f>IF(ISNUMBER(G316),B316&lt;G316,FALSE)</f>
        <v/>
      </c>
      <c r="T316">
        <f>OR(O316,P316,Q316,R316,S316)</f>
        <v/>
      </c>
    </row>
    <row r="317">
      <c r="A317">
        <f>IF(Prices!A317="","",Prices!A317)</f>
        <v/>
      </c>
      <c r="B317">
        <f>IF(Prices!E317="","",Prices!E317)</f>
        <v/>
      </c>
      <c r="C317">
        <f>IF(Prices!C317="","",Prices!C317)</f>
        <v/>
      </c>
      <c r="D317">
        <f>IF(Prices!D317="","",Prices!D317)</f>
        <v/>
      </c>
      <c r="E317">
        <f>AVERAGE(B268:B317)</f>
        <v/>
      </c>
      <c r="F317">
        <f>AVERAGE(B118:B317)</f>
        <v/>
      </c>
      <c r="G317">
        <f>AVERAGE(B298:B317)-2*STDEV.P(B298:B317)</f>
        <v/>
      </c>
      <c r="H317">
        <f>MAX(B317-B316,0)</f>
        <v/>
      </c>
      <c r="I317">
        <f>MAX(B316-B317,0)</f>
        <v/>
      </c>
      <c r="J317">
        <f>(J316*13+H317)/14</f>
        <v/>
      </c>
      <c r="K317">
        <f>(K316*13+I317)/14</f>
        <v/>
      </c>
      <c r="L317">
        <f>IF(K317=0,100,100-100/(1+J317/K317))</f>
        <v/>
      </c>
      <c r="M317">
        <f>IF(MAX(C304:C317)=MIN(D304:D317),50,100*(B317-MIN(D304:D317))/(MAX(C304:C317)-MIN(D304:D317)))</f>
        <v/>
      </c>
      <c r="N317">
        <f>AVERAGE(M315:M317)</f>
        <v/>
      </c>
      <c r="O317">
        <f>IF(ISNUMBER(L317),L317&lt;30,FALSE)</f>
        <v/>
      </c>
      <c r="P317">
        <f>IF(ISNUMBER(N317),N317&lt;20,FALSE)</f>
        <v/>
      </c>
      <c r="Q317">
        <f>IF(AND(ISNUMBER(E297),ISNUMBER(E317)),AND(E317&gt;E297,B317&lt;=E317*1.01,B316&gt;E316*1.01),FALSE)</f>
        <v/>
      </c>
      <c r="R317">
        <f>IF(AND(ISNUMBER(F297),ISNUMBER(F317)),AND(F317&gt;F297,B317&lt;=F317*1.01,B316&gt;F316*1.01),FALSE)</f>
        <v/>
      </c>
      <c r="S317">
        <f>IF(ISNUMBER(G317),B317&lt;G317,FALSE)</f>
        <v/>
      </c>
      <c r="T317">
        <f>OR(O317,P317,Q317,R317,S317)</f>
        <v/>
      </c>
    </row>
    <row r="318">
      <c r="A318">
        <f>IF(Prices!A318="","",Prices!A318)</f>
        <v/>
      </c>
      <c r="B318">
        <f>IF(Prices!E318="","",Prices!E318)</f>
        <v/>
      </c>
      <c r="C318">
        <f>IF(Prices!C318="","",Prices!C318)</f>
        <v/>
      </c>
      <c r="D318">
        <f>IF(Prices!D318="","",Prices!D318)</f>
        <v/>
      </c>
      <c r="E318">
        <f>AVERAGE(B269:B318)</f>
        <v/>
      </c>
      <c r="F318">
        <f>AVERAGE(B119:B318)</f>
        <v/>
      </c>
      <c r="G318">
        <f>AVERAGE(B299:B318)-2*STDEV.P(B299:B318)</f>
        <v/>
      </c>
      <c r="H318">
        <f>MAX(B318-B317,0)</f>
        <v/>
      </c>
      <c r="I318">
        <f>MAX(B317-B318,0)</f>
        <v/>
      </c>
      <c r="J318">
        <f>(J317*13+H318)/14</f>
        <v/>
      </c>
      <c r="K318">
        <f>(K317*13+I318)/14</f>
        <v/>
      </c>
      <c r="L318">
        <f>IF(K318=0,100,100-100/(1+J318/K318))</f>
        <v/>
      </c>
      <c r="M318">
        <f>IF(MAX(C305:C318)=MIN(D305:D318),50,100*(B318-MIN(D305:D318))/(MAX(C305:C318)-MIN(D305:D318)))</f>
        <v/>
      </c>
      <c r="N318">
        <f>AVERAGE(M316:M318)</f>
        <v/>
      </c>
      <c r="O318">
        <f>IF(ISNUMBER(L318),L318&lt;30,FALSE)</f>
        <v/>
      </c>
      <c r="P318">
        <f>IF(ISNUMBER(N318),N318&lt;20,FALSE)</f>
        <v/>
      </c>
      <c r="Q318">
        <f>IF(AND(ISNUMBER(E298),ISNUMBER(E318)),AND(E318&gt;E298,B318&lt;=E318*1.01,B317&gt;E317*1.01),FALSE)</f>
        <v/>
      </c>
      <c r="R318">
        <f>IF(AND(ISNUMBER(F298),ISNUMBER(F318)),AND(F318&gt;F298,B318&lt;=F318*1.01,B317&gt;F317*1.01),FALSE)</f>
        <v/>
      </c>
      <c r="S318">
        <f>IF(ISNUMBER(G318),B318&lt;G318,FALSE)</f>
        <v/>
      </c>
      <c r="T318">
        <f>OR(O318,P318,Q318,R318,S318)</f>
        <v/>
      </c>
    </row>
    <row r="319">
      <c r="A319">
        <f>IF(Prices!A319="","",Prices!A319)</f>
        <v/>
      </c>
      <c r="B319">
        <f>IF(Prices!E319="","",Prices!E319)</f>
        <v/>
      </c>
      <c r="C319">
        <f>IF(Prices!C319="","",Prices!C319)</f>
        <v/>
      </c>
      <c r="D319">
        <f>IF(Prices!D319="","",Prices!D319)</f>
        <v/>
      </c>
      <c r="E319">
        <f>AVERAGE(B270:B319)</f>
        <v/>
      </c>
      <c r="F319">
        <f>AVERAGE(B120:B319)</f>
        <v/>
      </c>
      <c r="G319">
        <f>AVERAGE(B300:B319)-2*STDEV.P(B300:B319)</f>
        <v/>
      </c>
      <c r="H319">
        <f>MAX(B319-B318,0)</f>
        <v/>
      </c>
      <c r="I319">
        <f>MAX(B318-B319,0)</f>
        <v/>
      </c>
      <c r="J319">
        <f>(J318*13+H319)/14</f>
        <v/>
      </c>
      <c r="K319">
        <f>(K318*13+I319)/14</f>
        <v/>
      </c>
      <c r="L319">
        <f>IF(K319=0,100,100-100/(1+J319/K319))</f>
        <v/>
      </c>
      <c r="M319">
        <f>IF(MAX(C306:C319)=MIN(D306:D319),50,100*(B319-MIN(D306:D319))/(MAX(C306:C319)-MIN(D306:D319)))</f>
        <v/>
      </c>
      <c r="N319">
        <f>AVERAGE(M317:M319)</f>
        <v/>
      </c>
      <c r="O319">
        <f>IF(ISNUMBER(L319),L319&lt;30,FALSE)</f>
        <v/>
      </c>
      <c r="P319">
        <f>IF(ISNUMBER(N319),N319&lt;20,FALSE)</f>
        <v/>
      </c>
      <c r="Q319">
        <f>IF(AND(ISNUMBER(E299),ISNUMBER(E319)),AND(E319&gt;E299,B319&lt;=E319*1.01,B318&gt;E318*1.01),FALSE)</f>
        <v/>
      </c>
      <c r="R319">
        <f>IF(AND(ISNUMBER(F299),ISNUMBER(F319)),AND(F319&gt;F299,B319&lt;=F319*1.01,B318&gt;F318*1.01),FALSE)</f>
        <v/>
      </c>
      <c r="S319">
        <f>IF(ISNUMBER(G319),B319&lt;G319,FALSE)</f>
        <v/>
      </c>
      <c r="T319">
        <f>OR(O319,P319,Q319,R319,S319)</f>
        <v/>
      </c>
    </row>
    <row r="320">
      <c r="A320">
        <f>IF(Prices!A320="","",Prices!A320)</f>
        <v/>
      </c>
      <c r="B320">
        <f>IF(Prices!E320="","",Prices!E320)</f>
        <v/>
      </c>
      <c r="C320">
        <f>IF(Prices!C320="","",Prices!C320)</f>
        <v/>
      </c>
      <c r="D320">
        <f>IF(Prices!D320="","",Prices!D320)</f>
        <v/>
      </c>
      <c r="E320">
        <f>AVERAGE(B271:B320)</f>
        <v/>
      </c>
      <c r="F320">
        <f>AVERAGE(B121:B320)</f>
        <v/>
      </c>
      <c r="G320">
        <f>AVERAGE(B301:B320)-2*STDEV.P(B301:B320)</f>
        <v/>
      </c>
      <c r="H320">
        <f>MAX(B320-B319,0)</f>
        <v/>
      </c>
      <c r="I320">
        <f>MAX(B319-B320,0)</f>
        <v/>
      </c>
      <c r="J320">
        <f>(J319*13+H320)/14</f>
        <v/>
      </c>
      <c r="K320">
        <f>(K319*13+I320)/14</f>
        <v/>
      </c>
      <c r="L320">
        <f>IF(K320=0,100,100-100/(1+J320/K320))</f>
        <v/>
      </c>
      <c r="M320">
        <f>IF(MAX(C307:C320)=MIN(D307:D320),50,100*(B320-MIN(D307:D320))/(MAX(C307:C320)-MIN(D307:D320)))</f>
        <v/>
      </c>
      <c r="N320">
        <f>AVERAGE(M318:M320)</f>
        <v/>
      </c>
      <c r="O320">
        <f>IF(ISNUMBER(L320),L320&lt;30,FALSE)</f>
        <v/>
      </c>
      <c r="P320">
        <f>IF(ISNUMBER(N320),N320&lt;20,FALSE)</f>
        <v/>
      </c>
      <c r="Q320">
        <f>IF(AND(ISNUMBER(E300),ISNUMBER(E320)),AND(E320&gt;E300,B320&lt;=E320*1.01,B319&gt;E319*1.01),FALSE)</f>
        <v/>
      </c>
      <c r="R320">
        <f>IF(AND(ISNUMBER(F300),ISNUMBER(F320)),AND(F320&gt;F300,B320&lt;=F320*1.01,B319&gt;F319*1.01),FALSE)</f>
        <v/>
      </c>
      <c r="S320">
        <f>IF(ISNUMBER(G320),B320&lt;G320,FALSE)</f>
        <v/>
      </c>
      <c r="T320">
        <f>OR(O320,P320,Q320,R320,S320)</f>
        <v/>
      </c>
    </row>
    <row r="321">
      <c r="A321">
        <f>IF(Prices!A321="","",Prices!A321)</f>
        <v/>
      </c>
      <c r="B321">
        <f>IF(Prices!E321="","",Prices!E321)</f>
        <v/>
      </c>
      <c r="C321">
        <f>IF(Prices!C321="","",Prices!C321)</f>
        <v/>
      </c>
      <c r="D321">
        <f>IF(Prices!D321="","",Prices!D321)</f>
        <v/>
      </c>
      <c r="E321">
        <f>AVERAGE(B272:B321)</f>
        <v/>
      </c>
      <c r="F321">
        <f>AVERAGE(B122:B321)</f>
        <v/>
      </c>
      <c r="G321">
        <f>AVERAGE(B302:B321)-2*STDEV.P(B302:B321)</f>
        <v/>
      </c>
      <c r="H321">
        <f>MAX(B321-B320,0)</f>
        <v/>
      </c>
      <c r="I321">
        <f>MAX(B320-B321,0)</f>
        <v/>
      </c>
      <c r="J321">
        <f>(J320*13+H321)/14</f>
        <v/>
      </c>
      <c r="K321">
        <f>(K320*13+I321)/14</f>
        <v/>
      </c>
      <c r="L321">
        <f>IF(K321=0,100,100-100/(1+J321/K321))</f>
        <v/>
      </c>
      <c r="M321">
        <f>IF(MAX(C308:C321)=MIN(D308:D321),50,100*(B321-MIN(D308:D321))/(MAX(C308:C321)-MIN(D308:D321)))</f>
        <v/>
      </c>
      <c r="N321">
        <f>AVERAGE(M319:M321)</f>
        <v/>
      </c>
      <c r="O321">
        <f>IF(ISNUMBER(L321),L321&lt;30,FALSE)</f>
        <v/>
      </c>
      <c r="P321">
        <f>IF(ISNUMBER(N321),N321&lt;20,FALSE)</f>
        <v/>
      </c>
      <c r="Q321">
        <f>IF(AND(ISNUMBER(E301),ISNUMBER(E321)),AND(E321&gt;E301,B321&lt;=E321*1.01,B320&gt;E320*1.01),FALSE)</f>
        <v/>
      </c>
      <c r="R321">
        <f>IF(AND(ISNUMBER(F301),ISNUMBER(F321)),AND(F321&gt;F301,B321&lt;=F321*1.01,B320&gt;F320*1.01),FALSE)</f>
        <v/>
      </c>
      <c r="S321">
        <f>IF(ISNUMBER(G321),B321&lt;G321,FALSE)</f>
        <v/>
      </c>
      <c r="T321">
        <f>OR(O321,P321,Q321,R321,S321)</f>
        <v/>
      </c>
    </row>
    <row r="322">
      <c r="A322">
        <f>IF(Prices!A322="","",Prices!A322)</f>
        <v/>
      </c>
      <c r="B322">
        <f>IF(Prices!E322="","",Prices!E322)</f>
        <v/>
      </c>
      <c r="C322">
        <f>IF(Prices!C322="","",Prices!C322)</f>
        <v/>
      </c>
      <c r="D322">
        <f>IF(Prices!D322="","",Prices!D322)</f>
        <v/>
      </c>
      <c r="E322">
        <f>AVERAGE(B273:B322)</f>
        <v/>
      </c>
      <c r="F322">
        <f>AVERAGE(B123:B322)</f>
        <v/>
      </c>
      <c r="G322">
        <f>AVERAGE(B303:B322)-2*STDEV.P(B303:B322)</f>
        <v/>
      </c>
      <c r="H322">
        <f>MAX(B322-B321,0)</f>
        <v/>
      </c>
      <c r="I322">
        <f>MAX(B321-B322,0)</f>
        <v/>
      </c>
      <c r="J322">
        <f>(J321*13+H322)/14</f>
        <v/>
      </c>
      <c r="K322">
        <f>(K321*13+I322)/14</f>
        <v/>
      </c>
      <c r="L322">
        <f>IF(K322=0,100,100-100/(1+J322/K322))</f>
        <v/>
      </c>
      <c r="M322">
        <f>IF(MAX(C309:C322)=MIN(D309:D322),50,100*(B322-MIN(D309:D322))/(MAX(C309:C322)-MIN(D309:D322)))</f>
        <v/>
      </c>
      <c r="N322">
        <f>AVERAGE(M320:M322)</f>
        <v/>
      </c>
      <c r="O322">
        <f>IF(ISNUMBER(L322),L322&lt;30,FALSE)</f>
        <v/>
      </c>
      <c r="P322">
        <f>IF(ISNUMBER(N322),N322&lt;20,FALSE)</f>
        <v/>
      </c>
      <c r="Q322">
        <f>IF(AND(ISNUMBER(E302),ISNUMBER(E322)),AND(E322&gt;E302,B322&lt;=E322*1.01,B321&gt;E321*1.01),FALSE)</f>
        <v/>
      </c>
      <c r="R322">
        <f>IF(AND(ISNUMBER(F302),ISNUMBER(F322)),AND(F322&gt;F302,B322&lt;=F322*1.01,B321&gt;F321*1.01),FALSE)</f>
        <v/>
      </c>
      <c r="S322">
        <f>IF(ISNUMBER(G322),B322&lt;G322,FALSE)</f>
        <v/>
      </c>
      <c r="T322">
        <f>OR(O322,P322,Q322,R322,S322)</f>
        <v/>
      </c>
    </row>
    <row r="323">
      <c r="A323">
        <f>IF(Prices!A323="","",Prices!A323)</f>
        <v/>
      </c>
      <c r="B323">
        <f>IF(Prices!E323="","",Prices!E323)</f>
        <v/>
      </c>
      <c r="C323">
        <f>IF(Prices!C323="","",Prices!C323)</f>
        <v/>
      </c>
      <c r="D323">
        <f>IF(Prices!D323="","",Prices!D323)</f>
        <v/>
      </c>
      <c r="E323">
        <f>AVERAGE(B274:B323)</f>
        <v/>
      </c>
      <c r="F323">
        <f>AVERAGE(B124:B323)</f>
        <v/>
      </c>
      <c r="G323">
        <f>AVERAGE(B304:B323)-2*STDEV.P(B304:B323)</f>
        <v/>
      </c>
      <c r="H323">
        <f>MAX(B323-B322,0)</f>
        <v/>
      </c>
      <c r="I323">
        <f>MAX(B322-B323,0)</f>
        <v/>
      </c>
      <c r="J323">
        <f>(J322*13+H323)/14</f>
        <v/>
      </c>
      <c r="K323">
        <f>(K322*13+I323)/14</f>
        <v/>
      </c>
      <c r="L323">
        <f>IF(K323=0,100,100-100/(1+J323/K323))</f>
        <v/>
      </c>
      <c r="M323">
        <f>IF(MAX(C310:C323)=MIN(D310:D323),50,100*(B323-MIN(D310:D323))/(MAX(C310:C323)-MIN(D310:D323)))</f>
        <v/>
      </c>
      <c r="N323">
        <f>AVERAGE(M321:M323)</f>
        <v/>
      </c>
      <c r="O323">
        <f>IF(ISNUMBER(L323),L323&lt;30,FALSE)</f>
        <v/>
      </c>
      <c r="P323">
        <f>IF(ISNUMBER(N323),N323&lt;20,FALSE)</f>
        <v/>
      </c>
      <c r="Q323">
        <f>IF(AND(ISNUMBER(E303),ISNUMBER(E323)),AND(E323&gt;E303,B323&lt;=E323*1.01,B322&gt;E322*1.01),FALSE)</f>
        <v/>
      </c>
      <c r="R323">
        <f>IF(AND(ISNUMBER(F303),ISNUMBER(F323)),AND(F323&gt;F303,B323&lt;=F323*1.01,B322&gt;F322*1.01),FALSE)</f>
        <v/>
      </c>
      <c r="S323">
        <f>IF(ISNUMBER(G323),B323&lt;G323,FALSE)</f>
        <v/>
      </c>
      <c r="T323">
        <f>OR(O323,P323,Q323,R323,S323)</f>
        <v/>
      </c>
    </row>
    <row r="324">
      <c r="A324">
        <f>IF(Prices!A324="","",Prices!A324)</f>
        <v/>
      </c>
      <c r="B324">
        <f>IF(Prices!E324="","",Prices!E324)</f>
        <v/>
      </c>
      <c r="C324">
        <f>IF(Prices!C324="","",Prices!C324)</f>
        <v/>
      </c>
      <c r="D324">
        <f>IF(Prices!D324="","",Prices!D324)</f>
        <v/>
      </c>
      <c r="E324">
        <f>AVERAGE(B275:B324)</f>
        <v/>
      </c>
      <c r="F324">
        <f>AVERAGE(B125:B324)</f>
        <v/>
      </c>
      <c r="G324">
        <f>AVERAGE(B305:B324)-2*STDEV.P(B305:B324)</f>
        <v/>
      </c>
      <c r="H324">
        <f>MAX(B324-B323,0)</f>
        <v/>
      </c>
      <c r="I324">
        <f>MAX(B323-B324,0)</f>
        <v/>
      </c>
      <c r="J324">
        <f>(J323*13+H324)/14</f>
        <v/>
      </c>
      <c r="K324">
        <f>(K323*13+I324)/14</f>
        <v/>
      </c>
      <c r="L324">
        <f>IF(K324=0,100,100-100/(1+J324/K324))</f>
        <v/>
      </c>
      <c r="M324">
        <f>IF(MAX(C311:C324)=MIN(D311:D324),50,100*(B324-MIN(D311:D324))/(MAX(C311:C324)-MIN(D311:D324)))</f>
        <v/>
      </c>
      <c r="N324">
        <f>AVERAGE(M322:M324)</f>
        <v/>
      </c>
      <c r="O324">
        <f>IF(ISNUMBER(L324),L324&lt;30,FALSE)</f>
        <v/>
      </c>
      <c r="P324">
        <f>IF(ISNUMBER(N324),N324&lt;20,FALSE)</f>
        <v/>
      </c>
      <c r="Q324">
        <f>IF(AND(ISNUMBER(E304),ISNUMBER(E324)),AND(E324&gt;E304,B324&lt;=E324*1.01,B323&gt;E323*1.01),FALSE)</f>
        <v/>
      </c>
      <c r="R324">
        <f>IF(AND(ISNUMBER(F304),ISNUMBER(F324)),AND(F324&gt;F304,B324&lt;=F324*1.01,B323&gt;F323*1.01),FALSE)</f>
        <v/>
      </c>
      <c r="S324">
        <f>IF(ISNUMBER(G324),B324&lt;G324,FALSE)</f>
        <v/>
      </c>
      <c r="T324">
        <f>OR(O324,P324,Q324,R324,S324)</f>
        <v/>
      </c>
    </row>
    <row r="325">
      <c r="A325">
        <f>IF(Prices!A325="","",Prices!A325)</f>
        <v/>
      </c>
      <c r="B325">
        <f>IF(Prices!E325="","",Prices!E325)</f>
        <v/>
      </c>
      <c r="C325">
        <f>IF(Prices!C325="","",Prices!C325)</f>
        <v/>
      </c>
      <c r="D325">
        <f>IF(Prices!D325="","",Prices!D325)</f>
        <v/>
      </c>
      <c r="E325">
        <f>AVERAGE(B276:B325)</f>
        <v/>
      </c>
      <c r="F325">
        <f>AVERAGE(B126:B325)</f>
        <v/>
      </c>
      <c r="G325">
        <f>AVERAGE(B306:B325)-2*STDEV.P(B306:B325)</f>
        <v/>
      </c>
      <c r="H325">
        <f>MAX(B325-B324,0)</f>
        <v/>
      </c>
      <c r="I325">
        <f>MAX(B324-B325,0)</f>
        <v/>
      </c>
      <c r="J325">
        <f>(J324*13+H325)/14</f>
        <v/>
      </c>
      <c r="K325">
        <f>(K324*13+I325)/14</f>
        <v/>
      </c>
      <c r="L325">
        <f>IF(K325=0,100,100-100/(1+J325/K325))</f>
        <v/>
      </c>
      <c r="M325">
        <f>IF(MAX(C312:C325)=MIN(D312:D325),50,100*(B325-MIN(D312:D325))/(MAX(C312:C325)-MIN(D312:D325)))</f>
        <v/>
      </c>
      <c r="N325">
        <f>AVERAGE(M323:M325)</f>
        <v/>
      </c>
      <c r="O325">
        <f>IF(ISNUMBER(L325),L325&lt;30,FALSE)</f>
        <v/>
      </c>
      <c r="P325">
        <f>IF(ISNUMBER(N325),N325&lt;20,FALSE)</f>
        <v/>
      </c>
      <c r="Q325">
        <f>IF(AND(ISNUMBER(E305),ISNUMBER(E325)),AND(E325&gt;E305,B325&lt;=E325*1.01,B324&gt;E324*1.01),FALSE)</f>
        <v/>
      </c>
      <c r="R325">
        <f>IF(AND(ISNUMBER(F305),ISNUMBER(F325)),AND(F325&gt;F305,B325&lt;=F325*1.01,B324&gt;F324*1.01),FALSE)</f>
        <v/>
      </c>
      <c r="S325">
        <f>IF(ISNUMBER(G325),B325&lt;G325,FALSE)</f>
        <v/>
      </c>
      <c r="T325">
        <f>OR(O325,P325,Q325,R325,S325)</f>
        <v/>
      </c>
    </row>
    <row r="326">
      <c r="A326">
        <f>IF(Prices!A326="","",Prices!A326)</f>
        <v/>
      </c>
      <c r="B326">
        <f>IF(Prices!E326="","",Prices!E326)</f>
        <v/>
      </c>
      <c r="C326">
        <f>IF(Prices!C326="","",Prices!C326)</f>
        <v/>
      </c>
      <c r="D326">
        <f>IF(Prices!D326="","",Prices!D326)</f>
        <v/>
      </c>
      <c r="E326">
        <f>AVERAGE(B277:B326)</f>
        <v/>
      </c>
      <c r="F326">
        <f>AVERAGE(B127:B326)</f>
        <v/>
      </c>
      <c r="G326">
        <f>AVERAGE(B307:B326)-2*STDEV.P(B307:B326)</f>
        <v/>
      </c>
      <c r="H326">
        <f>MAX(B326-B325,0)</f>
        <v/>
      </c>
      <c r="I326">
        <f>MAX(B325-B326,0)</f>
        <v/>
      </c>
      <c r="J326">
        <f>(J325*13+H326)/14</f>
        <v/>
      </c>
      <c r="K326">
        <f>(K325*13+I326)/14</f>
        <v/>
      </c>
      <c r="L326">
        <f>IF(K326=0,100,100-100/(1+J326/K326))</f>
        <v/>
      </c>
      <c r="M326">
        <f>IF(MAX(C313:C326)=MIN(D313:D326),50,100*(B326-MIN(D313:D326))/(MAX(C313:C326)-MIN(D313:D326)))</f>
        <v/>
      </c>
      <c r="N326">
        <f>AVERAGE(M324:M326)</f>
        <v/>
      </c>
      <c r="O326">
        <f>IF(ISNUMBER(L326),L326&lt;30,FALSE)</f>
        <v/>
      </c>
      <c r="P326">
        <f>IF(ISNUMBER(N326),N326&lt;20,FALSE)</f>
        <v/>
      </c>
      <c r="Q326">
        <f>IF(AND(ISNUMBER(E306),ISNUMBER(E326)),AND(E326&gt;E306,B326&lt;=E326*1.01,B325&gt;E325*1.01),FALSE)</f>
        <v/>
      </c>
      <c r="R326">
        <f>IF(AND(ISNUMBER(F306),ISNUMBER(F326)),AND(F326&gt;F306,B326&lt;=F326*1.01,B325&gt;F325*1.01),FALSE)</f>
        <v/>
      </c>
      <c r="S326">
        <f>IF(ISNUMBER(G326),B326&lt;G326,FALSE)</f>
        <v/>
      </c>
      <c r="T326">
        <f>OR(O326,P326,Q326,R326,S326)</f>
        <v/>
      </c>
    </row>
    <row r="327">
      <c r="A327">
        <f>IF(Prices!A327="","",Prices!A327)</f>
        <v/>
      </c>
      <c r="B327">
        <f>IF(Prices!E327="","",Prices!E327)</f>
        <v/>
      </c>
      <c r="C327">
        <f>IF(Prices!C327="","",Prices!C327)</f>
        <v/>
      </c>
      <c r="D327">
        <f>IF(Prices!D327="","",Prices!D327)</f>
        <v/>
      </c>
      <c r="E327">
        <f>AVERAGE(B278:B327)</f>
        <v/>
      </c>
      <c r="F327">
        <f>AVERAGE(B128:B327)</f>
        <v/>
      </c>
      <c r="G327">
        <f>AVERAGE(B308:B327)-2*STDEV.P(B308:B327)</f>
        <v/>
      </c>
      <c r="H327">
        <f>MAX(B327-B326,0)</f>
        <v/>
      </c>
      <c r="I327">
        <f>MAX(B326-B327,0)</f>
        <v/>
      </c>
      <c r="J327">
        <f>(J326*13+H327)/14</f>
        <v/>
      </c>
      <c r="K327">
        <f>(K326*13+I327)/14</f>
        <v/>
      </c>
      <c r="L327">
        <f>IF(K327=0,100,100-100/(1+J327/K327))</f>
        <v/>
      </c>
      <c r="M327">
        <f>IF(MAX(C314:C327)=MIN(D314:D327),50,100*(B327-MIN(D314:D327))/(MAX(C314:C327)-MIN(D314:D327)))</f>
        <v/>
      </c>
      <c r="N327">
        <f>AVERAGE(M325:M327)</f>
        <v/>
      </c>
      <c r="O327">
        <f>IF(ISNUMBER(L327),L327&lt;30,FALSE)</f>
        <v/>
      </c>
      <c r="P327">
        <f>IF(ISNUMBER(N327),N327&lt;20,FALSE)</f>
        <v/>
      </c>
      <c r="Q327">
        <f>IF(AND(ISNUMBER(E307),ISNUMBER(E327)),AND(E327&gt;E307,B327&lt;=E327*1.01,B326&gt;E326*1.01),FALSE)</f>
        <v/>
      </c>
      <c r="R327">
        <f>IF(AND(ISNUMBER(F307),ISNUMBER(F327)),AND(F327&gt;F307,B327&lt;=F327*1.01,B326&gt;F326*1.01),FALSE)</f>
        <v/>
      </c>
      <c r="S327">
        <f>IF(ISNUMBER(G327),B327&lt;G327,FALSE)</f>
        <v/>
      </c>
      <c r="T327">
        <f>OR(O327,P327,Q327,R327,S327)</f>
        <v/>
      </c>
    </row>
    <row r="328">
      <c r="A328">
        <f>IF(Prices!A328="","",Prices!A328)</f>
        <v/>
      </c>
      <c r="B328">
        <f>IF(Prices!E328="","",Prices!E328)</f>
        <v/>
      </c>
      <c r="C328">
        <f>IF(Prices!C328="","",Prices!C328)</f>
        <v/>
      </c>
      <c r="D328">
        <f>IF(Prices!D328="","",Prices!D328)</f>
        <v/>
      </c>
      <c r="E328">
        <f>AVERAGE(B279:B328)</f>
        <v/>
      </c>
      <c r="F328">
        <f>AVERAGE(B129:B328)</f>
        <v/>
      </c>
      <c r="G328">
        <f>AVERAGE(B309:B328)-2*STDEV.P(B309:B328)</f>
        <v/>
      </c>
      <c r="H328">
        <f>MAX(B328-B327,0)</f>
        <v/>
      </c>
      <c r="I328">
        <f>MAX(B327-B328,0)</f>
        <v/>
      </c>
      <c r="J328">
        <f>(J327*13+H328)/14</f>
        <v/>
      </c>
      <c r="K328">
        <f>(K327*13+I328)/14</f>
        <v/>
      </c>
      <c r="L328">
        <f>IF(K328=0,100,100-100/(1+J328/K328))</f>
        <v/>
      </c>
      <c r="M328">
        <f>IF(MAX(C315:C328)=MIN(D315:D328),50,100*(B328-MIN(D315:D328))/(MAX(C315:C328)-MIN(D315:D328)))</f>
        <v/>
      </c>
      <c r="N328">
        <f>AVERAGE(M326:M328)</f>
        <v/>
      </c>
      <c r="O328">
        <f>IF(ISNUMBER(L328),L328&lt;30,FALSE)</f>
        <v/>
      </c>
      <c r="P328">
        <f>IF(ISNUMBER(N328),N328&lt;20,FALSE)</f>
        <v/>
      </c>
      <c r="Q328">
        <f>IF(AND(ISNUMBER(E308),ISNUMBER(E328)),AND(E328&gt;E308,B328&lt;=E328*1.01,B327&gt;E327*1.01),FALSE)</f>
        <v/>
      </c>
      <c r="R328">
        <f>IF(AND(ISNUMBER(F308),ISNUMBER(F328)),AND(F328&gt;F308,B328&lt;=F328*1.01,B327&gt;F327*1.01),FALSE)</f>
        <v/>
      </c>
      <c r="S328">
        <f>IF(ISNUMBER(G328),B328&lt;G328,FALSE)</f>
        <v/>
      </c>
      <c r="T328">
        <f>OR(O328,P328,Q328,R328,S328)</f>
        <v/>
      </c>
    </row>
    <row r="329">
      <c r="A329">
        <f>IF(Prices!A329="","",Prices!A329)</f>
        <v/>
      </c>
      <c r="B329">
        <f>IF(Prices!E329="","",Prices!E329)</f>
        <v/>
      </c>
      <c r="C329">
        <f>IF(Prices!C329="","",Prices!C329)</f>
        <v/>
      </c>
      <c r="D329">
        <f>IF(Prices!D329="","",Prices!D329)</f>
        <v/>
      </c>
      <c r="E329">
        <f>AVERAGE(B280:B329)</f>
        <v/>
      </c>
      <c r="F329">
        <f>AVERAGE(B130:B329)</f>
        <v/>
      </c>
      <c r="G329">
        <f>AVERAGE(B310:B329)-2*STDEV.P(B310:B329)</f>
        <v/>
      </c>
      <c r="H329">
        <f>MAX(B329-B328,0)</f>
        <v/>
      </c>
      <c r="I329">
        <f>MAX(B328-B329,0)</f>
        <v/>
      </c>
      <c r="J329">
        <f>(J328*13+H329)/14</f>
        <v/>
      </c>
      <c r="K329">
        <f>(K328*13+I329)/14</f>
        <v/>
      </c>
      <c r="L329">
        <f>IF(K329=0,100,100-100/(1+J329/K329))</f>
        <v/>
      </c>
      <c r="M329">
        <f>IF(MAX(C316:C329)=MIN(D316:D329),50,100*(B329-MIN(D316:D329))/(MAX(C316:C329)-MIN(D316:D329)))</f>
        <v/>
      </c>
      <c r="N329">
        <f>AVERAGE(M327:M329)</f>
        <v/>
      </c>
      <c r="O329">
        <f>IF(ISNUMBER(L329),L329&lt;30,FALSE)</f>
        <v/>
      </c>
      <c r="P329">
        <f>IF(ISNUMBER(N329),N329&lt;20,FALSE)</f>
        <v/>
      </c>
      <c r="Q329">
        <f>IF(AND(ISNUMBER(E309),ISNUMBER(E329)),AND(E329&gt;E309,B329&lt;=E329*1.01,B328&gt;E328*1.01),FALSE)</f>
        <v/>
      </c>
      <c r="R329">
        <f>IF(AND(ISNUMBER(F309),ISNUMBER(F329)),AND(F329&gt;F309,B329&lt;=F329*1.01,B328&gt;F328*1.01),FALSE)</f>
        <v/>
      </c>
      <c r="S329">
        <f>IF(ISNUMBER(G329),B329&lt;G329,FALSE)</f>
        <v/>
      </c>
      <c r="T329">
        <f>OR(O329,P329,Q329,R329,S329)</f>
        <v/>
      </c>
    </row>
    <row r="330">
      <c r="A330">
        <f>IF(Prices!A330="","",Prices!A330)</f>
        <v/>
      </c>
      <c r="B330">
        <f>IF(Prices!E330="","",Prices!E330)</f>
        <v/>
      </c>
      <c r="C330">
        <f>IF(Prices!C330="","",Prices!C330)</f>
        <v/>
      </c>
      <c r="D330">
        <f>IF(Prices!D330="","",Prices!D330)</f>
        <v/>
      </c>
      <c r="E330">
        <f>AVERAGE(B281:B330)</f>
        <v/>
      </c>
      <c r="F330">
        <f>AVERAGE(B131:B330)</f>
        <v/>
      </c>
      <c r="G330">
        <f>AVERAGE(B311:B330)-2*STDEV.P(B311:B330)</f>
        <v/>
      </c>
      <c r="H330">
        <f>MAX(B330-B329,0)</f>
        <v/>
      </c>
      <c r="I330">
        <f>MAX(B329-B330,0)</f>
        <v/>
      </c>
      <c r="J330">
        <f>(J329*13+H330)/14</f>
        <v/>
      </c>
      <c r="K330">
        <f>(K329*13+I330)/14</f>
        <v/>
      </c>
      <c r="L330">
        <f>IF(K330=0,100,100-100/(1+J330/K330))</f>
        <v/>
      </c>
      <c r="M330">
        <f>IF(MAX(C317:C330)=MIN(D317:D330),50,100*(B330-MIN(D317:D330))/(MAX(C317:C330)-MIN(D317:D330)))</f>
        <v/>
      </c>
      <c r="N330">
        <f>AVERAGE(M328:M330)</f>
        <v/>
      </c>
      <c r="O330">
        <f>IF(ISNUMBER(L330),L330&lt;30,FALSE)</f>
        <v/>
      </c>
      <c r="P330">
        <f>IF(ISNUMBER(N330),N330&lt;20,FALSE)</f>
        <v/>
      </c>
      <c r="Q330">
        <f>IF(AND(ISNUMBER(E310),ISNUMBER(E330)),AND(E330&gt;E310,B330&lt;=E330*1.01,B329&gt;E329*1.01),FALSE)</f>
        <v/>
      </c>
      <c r="R330">
        <f>IF(AND(ISNUMBER(F310),ISNUMBER(F330)),AND(F330&gt;F310,B330&lt;=F330*1.01,B329&gt;F329*1.01),FALSE)</f>
        <v/>
      </c>
      <c r="S330">
        <f>IF(ISNUMBER(G330),B330&lt;G330,FALSE)</f>
        <v/>
      </c>
      <c r="T330">
        <f>OR(O330,P330,Q330,R330,S330)</f>
        <v/>
      </c>
    </row>
    <row r="331">
      <c r="A331">
        <f>IF(Prices!A331="","",Prices!A331)</f>
        <v/>
      </c>
      <c r="B331">
        <f>IF(Prices!E331="","",Prices!E331)</f>
        <v/>
      </c>
      <c r="C331">
        <f>IF(Prices!C331="","",Prices!C331)</f>
        <v/>
      </c>
      <c r="D331">
        <f>IF(Prices!D331="","",Prices!D331)</f>
        <v/>
      </c>
      <c r="E331">
        <f>AVERAGE(B282:B331)</f>
        <v/>
      </c>
      <c r="F331">
        <f>AVERAGE(B132:B331)</f>
        <v/>
      </c>
      <c r="G331">
        <f>AVERAGE(B312:B331)-2*STDEV.P(B312:B331)</f>
        <v/>
      </c>
      <c r="H331">
        <f>MAX(B331-B330,0)</f>
        <v/>
      </c>
      <c r="I331">
        <f>MAX(B330-B331,0)</f>
        <v/>
      </c>
      <c r="J331">
        <f>(J330*13+H331)/14</f>
        <v/>
      </c>
      <c r="K331">
        <f>(K330*13+I331)/14</f>
        <v/>
      </c>
      <c r="L331">
        <f>IF(K331=0,100,100-100/(1+J331/K331))</f>
        <v/>
      </c>
      <c r="M331">
        <f>IF(MAX(C318:C331)=MIN(D318:D331),50,100*(B331-MIN(D318:D331))/(MAX(C318:C331)-MIN(D318:D331)))</f>
        <v/>
      </c>
      <c r="N331">
        <f>AVERAGE(M329:M331)</f>
        <v/>
      </c>
      <c r="O331">
        <f>IF(ISNUMBER(L331),L331&lt;30,FALSE)</f>
        <v/>
      </c>
      <c r="P331">
        <f>IF(ISNUMBER(N331),N331&lt;20,FALSE)</f>
        <v/>
      </c>
      <c r="Q331">
        <f>IF(AND(ISNUMBER(E311),ISNUMBER(E331)),AND(E331&gt;E311,B331&lt;=E331*1.01,B330&gt;E330*1.01),FALSE)</f>
        <v/>
      </c>
      <c r="R331">
        <f>IF(AND(ISNUMBER(F311),ISNUMBER(F331)),AND(F331&gt;F311,B331&lt;=F331*1.01,B330&gt;F330*1.01),FALSE)</f>
        <v/>
      </c>
      <c r="S331">
        <f>IF(ISNUMBER(G331),B331&lt;G331,FALSE)</f>
        <v/>
      </c>
      <c r="T331">
        <f>OR(O331,P331,Q331,R331,S331)</f>
        <v/>
      </c>
    </row>
    <row r="332">
      <c r="A332">
        <f>IF(Prices!A332="","",Prices!A332)</f>
        <v/>
      </c>
      <c r="B332">
        <f>IF(Prices!E332="","",Prices!E332)</f>
        <v/>
      </c>
      <c r="C332">
        <f>IF(Prices!C332="","",Prices!C332)</f>
        <v/>
      </c>
      <c r="D332">
        <f>IF(Prices!D332="","",Prices!D332)</f>
        <v/>
      </c>
      <c r="E332">
        <f>AVERAGE(B283:B332)</f>
        <v/>
      </c>
      <c r="F332">
        <f>AVERAGE(B133:B332)</f>
        <v/>
      </c>
      <c r="G332">
        <f>AVERAGE(B313:B332)-2*STDEV.P(B313:B332)</f>
        <v/>
      </c>
      <c r="H332">
        <f>MAX(B332-B331,0)</f>
        <v/>
      </c>
      <c r="I332">
        <f>MAX(B331-B332,0)</f>
        <v/>
      </c>
      <c r="J332">
        <f>(J331*13+H332)/14</f>
        <v/>
      </c>
      <c r="K332">
        <f>(K331*13+I332)/14</f>
        <v/>
      </c>
      <c r="L332">
        <f>IF(K332=0,100,100-100/(1+J332/K332))</f>
        <v/>
      </c>
      <c r="M332">
        <f>IF(MAX(C319:C332)=MIN(D319:D332),50,100*(B332-MIN(D319:D332))/(MAX(C319:C332)-MIN(D319:D332)))</f>
        <v/>
      </c>
      <c r="N332">
        <f>AVERAGE(M330:M332)</f>
        <v/>
      </c>
      <c r="O332">
        <f>IF(ISNUMBER(L332),L332&lt;30,FALSE)</f>
        <v/>
      </c>
      <c r="P332">
        <f>IF(ISNUMBER(N332),N332&lt;20,FALSE)</f>
        <v/>
      </c>
      <c r="Q332">
        <f>IF(AND(ISNUMBER(E312),ISNUMBER(E332)),AND(E332&gt;E312,B332&lt;=E332*1.01,B331&gt;E331*1.01),FALSE)</f>
        <v/>
      </c>
      <c r="R332">
        <f>IF(AND(ISNUMBER(F312),ISNUMBER(F332)),AND(F332&gt;F312,B332&lt;=F332*1.01,B331&gt;F331*1.01),FALSE)</f>
        <v/>
      </c>
      <c r="S332">
        <f>IF(ISNUMBER(G332),B332&lt;G332,FALSE)</f>
        <v/>
      </c>
      <c r="T332">
        <f>OR(O332,P332,Q332,R332,S332)</f>
        <v/>
      </c>
    </row>
    <row r="333">
      <c r="A333">
        <f>IF(Prices!A333="","",Prices!A333)</f>
        <v/>
      </c>
      <c r="B333">
        <f>IF(Prices!E333="","",Prices!E333)</f>
        <v/>
      </c>
      <c r="C333">
        <f>IF(Prices!C333="","",Prices!C333)</f>
        <v/>
      </c>
      <c r="D333">
        <f>IF(Prices!D333="","",Prices!D333)</f>
        <v/>
      </c>
      <c r="E333">
        <f>AVERAGE(B284:B333)</f>
        <v/>
      </c>
      <c r="F333">
        <f>AVERAGE(B134:B333)</f>
        <v/>
      </c>
      <c r="G333">
        <f>AVERAGE(B314:B333)-2*STDEV.P(B314:B333)</f>
        <v/>
      </c>
      <c r="H333">
        <f>MAX(B333-B332,0)</f>
        <v/>
      </c>
      <c r="I333">
        <f>MAX(B332-B333,0)</f>
        <v/>
      </c>
      <c r="J333">
        <f>(J332*13+H333)/14</f>
        <v/>
      </c>
      <c r="K333">
        <f>(K332*13+I333)/14</f>
        <v/>
      </c>
      <c r="L333">
        <f>IF(K333=0,100,100-100/(1+J333/K333))</f>
        <v/>
      </c>
      <c r="M333">
        <f>IF(MAX(C320:C333)=MIN(D320:D333),50,100*(B333-MIN(D320:D333))/(MAX(C320:C333)-MIN(D320:D333)))</f>
        <v/>
      </c>
      <c r="N333">
        <f>AVERAGE(M331:M333)</f>
        <v/>
      </c>
      <c r="O333">
        <f>IF(ISNUMBER(L333),L333&lt;30,FALSE)</f>
        <v/>
      </c>
      <c r="P333">
        <f>IF(ISNUMBER(N333),N333&lt;20,FALSE)</f>
        <v/>
      </c>
      <c r="Q333">
        <f>IF(AND(ISNUMBER(E313),ISNUMBER(E333)),AND(E333&gt;E313,B333&lt;=E333*1.01,B332&gt;E332*1.01),FALSE)</f>
        <v/>
      </c>
      <c r="R333">
        <f>IF(AND(ISNUMBER(F313),ISNUMBER(F333)),AND(F333&gt;F313,B333&lt;=F333*1.01,B332&gt;F332*1.01),FALSE)</f>
        <v/>
      </c>
      <c r="S333">
        <f>IF(ISNUMBER(G333),B333&lt;G333,FALSE)</f>
        <v/>
      </c>
      <c r="T333">
        <f>OR(O333,P333,Q333,R333,S333)</f>
        <v/>
      </c>
    </row>
    <row r="334">
      <c r="A334">
        <f>IF(Prices!A334="","",Prices!A334)</f>
        <v/>
      </c>
      <c r="B334">
        <f>IF(Prices!E334="","",Prices!E334)</f>
        <v/>
      </c>
      <c r="C334">
        <f>IF(Prices!C334="","",Prices!C334)</f>
        <v/>
      </c>
      <c r="D334">
        <f>IF(Prices!D334="","",Prices!D334)</f>
        <v/>
      </c>
      <c r="E334">
        <f>AVERAGE(B285:B334)</f>
        <v/>
      </c>
      <c r="F334">
        <f>AVERAGE(B135:B334)</f>
        <v/>
      </c>
      <c r="G334">
        <f>AVERAGE(B315:B334)-2*STDEV.P(B315:B334)</f>
        <v/>
      </c>
      <c r="H334">
        <f>MAX(B334-B333,0)</f>
        <v/>
      </c>
      <c r="I334">
        <f>MAX(B333-B334,0)</f>
        <v/>
      </c>
      <c r="J334">
        <f>(J333*13+H334)/14</f>
        <v/>
      </c>
      <c r="K334">
        <f>(K333*13+I334)/14</f>
        <v/>
      </c>
      <c r="L334">
        <f>IF(K334=0,100,100-100/(1+J334/K334))</f>
        <v/>
      </c>
      <c r="M334">
        <f>IF(MAX(C321:C334)=MIN(D321:D334),50,100*(B334-MIN(D321:D334))/(MAX(C321:C334)-MIN(D321:D334)))</f>
        <v/>
      </c>
      <c r="N334">
        <f>AVERAGE(M332:M334)</f>
        <v/>
      </c>
      <c r="O334">
        <f>IF(ISNUMBER(L334),L334&lt;30,FALSE)</f>
        <v/>
      </c>
      <c r="P334">
        <f>IF(ISNUMBER(N334),N334&lt;20,FALSE)</f>
        <v/>
      </c>
      <c r="Q334">
        <f>IF(AND(ISNUMBER(E314),ISNUMBER(E334)),AND(E334&gt;E314,B334&lt;=E334*1.01,B333&gt;E333*1.01),FALSE)</f>
        <v/>
      </c>
      <c r="R334">
        <f>IF(AND(ISNUMBER(F314),ISNUMBER(F334)),AND(F334&gt;F314,B334&lt;=F334*1.01,B333&gt;F333*1.01),FALSE)</f>
        <v/>
      </c>
      <c r="S334">
        <f>IF(ISNUMBER(G334),B334&lt;G334,FALSE)</f>
        <v/>
      </c>
      <c r="T334">
        <f>OR(O334,P334,Q334,R334,S334)</f>
        <v/>
      </c>
    </row>
    <row r="335">
      <c r="A335">
        <f>IF(Prices!A335="","",Prices!A335)</f>
        <v/>
      </c>
      <c r="B335">
        <f>IF(Prices!E335="","",Prices!E335)</f>
        <v/>
      </c>
      <c r="C335">
        <f>IF(Prices!C335="","",Prices!C335)</f>
        <v/>
      </c>
      <c r="D335">
        <f>IF(Prices!D335="","",Prices!D335)</f>
        <v/>
      </c>
      <c r="E335">
        <f>AVERAGE(B286:B335)</f>
        <v/>
      </c>
      <c r="F335">
        <f>AVERAGE(B136:B335)</f>
        <v/>
      </c>
      <c r="G335">
        <f>AVERAGE(B316:B335)-2*STDEV.P(B316:B335)</f>
        <v/>
      </c>
      <c r="H335">
        <f>MAX(B335-B334,0)</f>
        <v/>
      </c>
      <c r="I335">
        <f>MAX(B334-B335,0)</f>
        <v/>
      </c>
      <c r="J335">
        <f>(J334*13+H335)/14</f>
        <v/>
      </c>
      <c r="K335">
        <f>(K334*13+I335)/14</f>
        <v/>
      </c>
      <c r="L335">
        <f>IF(K335=0,100,100-100/(1+J335/K335))</f>
        <v/>
      </c>
      <c r="M335">
        <f>IF(MAX(C322:C335)=MIN(D322:D335),50,100*(B335-MIN(D322:D335))/(MAX(C322:C335)-MIN(D322:D335)))</f>
        <v/>
      </c>
      <c r="N335">
        <f>AVERAGE(M333:M335)</f>
        <v/>
      </c>
      <c r="O335">
        <f>IF(ISNUMBER(L335),L335&lt;30,FALSE)</f>
        <v/>
      </c>
      <c r="P335">
        <f>IF(ISNUMBER(N335),N335&lt;20,FALSE)</f>
        <v/>
      </c>
      <c r="Q335">
        <f>IF(AND(ISNUMBER(E315),ISNUMBER(E335)),AND(E335&gt;E315,B335&lt;=E335*1.01,B334&gt;E334*1.01),FALSE)</f>
        <v/>
      </c>
      <c r="R335">
        <f>IF(AND(ISNUMBER(F315),ISNUMBER(F335)),AND(F335&gt;F315,B335&lt;=F335*1.01,B334&gt;F334*1.01),FALSE)</f>
        <v/>
      </c>
      <c r="S335">
        <f>IF(ISNUMBER(G335),B335&lt;G335,FALSE)</f>
        <v/>
      </c>
      <c r="T335">
        <f>OR(O335,P335,Q335,R335,S335)</f>
        <v/>
      </c>
    </row>
    <row r="336">
      <c r="A336">
        <f>IF(Prices!A336="","",Prices!A336)</f>
        <v/>
      </c>
      <c r="B336">
        <f>IF(Prices!E336="","",Prices!E336)</f>
        <v/>
      </c>
      <c r="C336">
        <f>IF(Prices!C336="","",Prices!C336)</f>
        <v/>
      </c>
      <c r="D336">
        <f>IF(Prices!D336="","",Prices!D336)</f>
        <v/>
      </c>
      <c r="E336">
        <f>AVERAGE(B287:B336)</f>
        <v/>
      </c>
      <c r="F336">
        <f>AVERAGE(B137:B336)</f>
        <v/>
      </c>
      <c r="G336">
        <f>AVERAGE(B317:B336)-2*STDEV.P(B317:B336)</f>
        <v/>
      </c>
      <c r="H336">
        <f>MAX(B336-B335,0)</f>
        <v/>
      </c>
      <c r="I336">
        <f>MAX(B335-B336,0)</f>
        <v/>
      </c>
      <c r="J336">
        <f>(J335*13+H336)/14</f>
        <v/>
      </c>
      <c r="K336">
        <f>(K335*13+I336)/14</f>
        <v/>
      </c>
      <c r="L336">
        <f>IF(K336=0,100,100-100/(1+J336/K336))</f>
        <v/>
      </c>
      <c r="M336">
        <f>IF(MAX(C323:C336)=MIN(D323:D336),50,100*(B336-MIN(D323:D336))/(MAX(C323:C336)-MIN(D323:D336)))</f>
        <v/>
      </c>
      <c r="N336">
        <f>AVERAGE(M334:M336)</f>
        <v/>
      </c>
      <c r="O336">
        <f>IF(ISNUMBER(L336),L336&lt;30,FALSE)</f>
        <v/>
      </c>
      <c r="P336">
        <f>IF(ISNUMBER(N336),N336&lt;20,FALSE)</f>
        <v/>
      </c>
      <c r="Q336">
        <f>IF(AND(ISNUMBER(E316),ISNUMBER(E336)),AND(E336&gt;E316,B336&lt;=E336*1.01,B335&gt;E335*1.01),FALSE)</f>
        <v/>
      </c>
      <c r="R336">
        <f>IF(AND(ISNUMBER(F316),ISNUMBER(F336)),AND(F336&gt;F316,B336&lt;=F336*1.01,B335&gt;F335*1.01),FALSE)</f>
        <v/>
      </c>
      <c r="S336">
        <f>IF(ISNUMBER(G336),B336&lt;G336,FALSE)</f>
        <v/>
      </c>
      <c r="T336">
        <f>OR(O336,P336,Q336,R336,S336)</f>
        <v/>
      </c>
    </row>
    <row r="337">
      <c r="A337">
        <f>IF(Prices!A337="","",Prices!A337)</f>
        <v/>
      </c>
      <c r="B337">
        <f>IF(Prices!E337="","",Prices!E337)</f>
        <v/>
      </c>
      <c r="C337">
        <f>IF(Prices!C337="","",Prices!C337)</f>
        <v/>
      </c>
      <c r="D337">
        <f>IF(Prices!D337="","",Prices!D337)</f>
        <v/>
      </c>
      <c r="E337">
        <f>AVERAGE(B288:B337)</f>
        <v/>
      </c>
      <c r="F337">
        <f>AVERAGE(B138:B337)</f>
        <v/>
      </c>
      <c r="G337">
        <f>AVERAGE(B318:B337)-2*STDEV.P(B318:B337)</f>
        <v/>
      </c>
      <c r="H337">
        <f>MAX(B337-B336,0)</f>
        <v/>
      </c>
      <c r="I337">
        <f>MAX(B336-B337,0)</f>
        <v/>
      </c>
      <c r="J337">
        <f>(J336*13+H337)/14</f>
        <v/>
      </c>
      <c r="K337">
        <f>(K336*13+I337)/14</f>
        <v/>
      </c>
      <c r="L337">
        <f>IF(K337=0,100,100-100/(1+J337/K337))</f>
        <v/>
      </c>
      <c r="M337">
        <f>IF(MAX(C324:C337)=MIN(D324:D337),50,100*(B337-MIN(D324:D337))/(MAX(C324:C337)-MIN(D324:D337)))</f>
        <v/>
      </c>
      <c r="N337">
        <f>AVERAGE(M335:M337)</f>
        <v/>
      </c>
      <c r="O337">
        <f>IF(ISNUMBER(L337),L337&lt;30,FALSE)</f>
        <v/>
      </c>
      <c r="P337">
        <f>IF(ISNUMBER(N337),N337&lt;20,FALSE)</f>
        <v/>
      </c>
      <c r="Q337">
        <f>IF(AND(ISNUMBER(E317),ISNUMBER(E337)),AND(E337&gt;E317,B337&lt;=E337*1.01,B336&gt;E336*1.01),FALSE)</f>
        <v/>
      </c>
      <c r="R337">
        <f>IF(AND(ISNUMBER(F317),ISNUMBER(F337)),AND(F337&gt;F317,B337&lt;=F337*1.01,B336&gt;F336*1.01),FALSE)</f>
        <v/>
      </c>
      <c r="S337">
        <f>IF(ISNUMBER(G337),B337&lt;G337,FALSE)</f>
        <v/>
      </c>
      <c r="T337">
        <f>OR(O337,P337,Q337,R337,S337)</f>
        <v/>
      </c>
    </row>
    <row r="338">
      <c r="A338">
        <f>IF(Prices!A338="","",Prices!A338)</f>
        <v/>
      </c>
      <c r="B338">
        <f>IF(Prices!E338="","",Prices!E338)</f>
        <v/>
      </c>
      <c r="C338">
        <f>IF(Prices!C338="","",Prices!C338)</f>
        <v/>
      </c>
      <c r="D338">
        <f>IF(Prices!D338="","",Prices!D338)</f>
        <v/>
      </c>
      <c r="E338">
        <f>AVERAGE(B289:B338)</f>
        <v/>
      </c>
      <c r="F338">
        <f>AVERAGE(B139:B338)</f>
        <v/>
      </c>
      <c r="G338">
        <f>AVERAGE(B319:B338)-2*STDEV.P(B319:B338)</f>
        <v/>
      </c>
      <c r="H338">
        <f>MAX(B338-B337,0)</f>
        <v/>
      </c>
      <c r="I338">
        <f>MAX(B337-B338,0)</f>
        <v/>
      </c>
      <c r="J338">
        <f>(J337*13+H338)/14</f>
        <v/>
      </c>
      <c r="K338">
        <f>(K337*13+I338)/14</f>
        <v/>
      </c>
      <c r="L338">
        <f>IF(K338=0,100,100-100/(1+J338/K338))</f>
        <v/>
      </c>
      <c r="M338">
        <f>IF(MAX(C325:C338)=MIN(D325:D338),50,100*(B338-MIN(D325:D338))/(MAX(C325:C338)-MIN(D325:D338)))</f>
        <v/>
      </c>
      <c r="N338">
        <f>AVERAGE(M336:M338)</f>
        <v/>
      </c>
      <c r="O338">
        <f>IF(ISNUMBER(L338),L338&lt;30,FALSE)</f>
        <v/>
      </c>
      <c r="P338">
        <f>IF(ISNUMBER(N338),N338&lt;20,FALSE)</f>
        <v/>
      </c>
      <c r="Q338">
        <f>IF(AND(ISNUMBER(E318),ISNUMBER(E338)),AND(E338&gt;E318,B338&lt;=E338*1.01,B337&gt;E337*1.01),FALSE)</f>
        <v/>
      </c>
      <c r="R338">
        <f>IF(AND(ISNUMBER(F318),ISNUMBER(F338)),AND(F338&gt;F318,B338&lt;=F338*1.01,B337&gt;F337*1.01),FALSE)</f>
        <v/>
      </c>
      <c r="S338">
        <f>IF(ISNUMBER(G338),B338&lt;G338,FALSE)</f>
        <v/>
      </c>
      <c r="T338">
        <f>OR(O338,P338,Q338,R338,S338)</f>
        <v/>
      </c>
    </row>
    <row r="339">
      <c r="A339">
        <f>IF(Prices!A339="","",Prices!A339)</f>
        <v/>
      </c>
      <c r="B339">
        <f>IF(Prices!E339="","",Prices!E339)</f>
        <v/>
      </c>
      <c r="C339">
        <f>IF(Prices!C339="","",Prices!C339)</f>
        <v/>
      </c>
      <c r="D339">
        <f>IF(Prices!D339="","",Prices!D339)</f>
        <v/>
      </c>
      <c r="E339">
        <f>AVERAGE(B290:B339)</f>
        <v/>
      </c>
      <c r="F339">
        <f>AVERAGE(B140:B339)</f>
        <v/>
      </c>
      <c r="G339">
        <f>AVERAGE(B320:B339)-2*STDEV.P(B320:B339)</f>
        <v/>
      </c>
      <c r="H339">
        <f>MAX(B339-B338,0)</f>
        <v/>
      </c>
      <c r="I339">
        <f>MAX(B338-B339,0)</f>
        <v/>
      </c>
      <c r="J339">
        <f>(J338*13+H339)/14</f>
        <v/>
      </c>
      <c r="K339">
        <f>(K338*13+I339)/14</f>
        <v/>
      </c>
      <c r="L339">
        <f>IF(K339=0,100,100-100/(1+J339/K339))</f>
        <v/>
      </c>
      <c r="M339">
        <f>IF(MAX(C326:C339)=MIN(D326:D339),50,100*(B339-MIN(D326:D339))/(MAX(C326:C339)-MIN(D326:D339)))</f>
        <v/>
      </c>
      <c r="N339">
        <f>AVERAGE(M337:M339)</f>
        <v/>
      </c>
      <c r="O339">
        <f>IF(ISNUMBER(L339),L339&lt;30,FALSE)</f>
        <v/>
      </c>
      <c r="P339">
        <f>IF(ISNUMBER(N339),N339&lt;20,FALSE)</f>
        <v/>
      </c>
      <c r="Q339">
        <f>IF(AND(ISNUMBER(E319),ISNUMBER(E339)),AND(E339&gt;E319,B339&lt;=E339*1.01,B338&gt;E338*1.01),FALSE)</f>
        <v/>
      </c>
      <c r="R339">
        <f>IF(AND(ISNUMBER(F319),ISNUMBER(F339)),AND(F339&gt;F319,B339&lt;=F339*1.01,B338&gt;F338*1.01),FALSE)</f>
        <v/>
      </c>
      <c r="S339">
        <f>IF(ISNUMBER(G339),B339&lt;G339,FALSE)</f>
        <v/>
      </c>
      <c r="T339">
        <f>OR(O339,P339,Q339,R339,S339)</f>
        <v/>
      </c>
    </row>
    <row r="340">
      <c r="A340">
        <f>IF(Prices!A340="","",Prices!A340)</f>
        <v/>
      </c>
      <c r="B340">
        <f>IF(Prices!E340="","",Prices!E340)</f>
        <v/>
      </c>
      <c r="C340">
        <f>IF(Prices!C340="","",Prices!C340)</f>
        <v/>
      </c>
      <c r="D340">
        <f>IF(Prices!D340="","",Prices!D340)</f>
        <v/>
      </c>
      <c r="E340">
        <f>AVERAGE(B291:B340)</f>
        <v/>
      </c>
      <c r="F340">
        <f>AVERAGE(B141:B340)</f>
        <v/>
      </c>
      <c r="G340">
        <f>AVERAGE(B321:B340)-2*STDEV.P(B321:B340)</f>
        <v/>
      </c>
      <c r="H340">
        <f>MAX(B340-B339,0)</f>
        <v/>
      </c>
      <c r="I340">
        <f>MAX(B339-B340,0)</f>
        <v/>
      </c>
      <c r="J340">
        <f>(J339*13+H340)/14</f>
        <v/>
      </c>
      <c r="K340">
        <f>(K339*13+I340)/14</f>
        <v/>
      </c>
      <c r="L340">
        <f>IF(K340=0,100,100-100/(1+J340/K340))</f>
        <v/>
      </c>
      <c r="M340">
        <f>IF(MAX(C327:C340)=MIN(D327:D340),50,100*(B340-MIN(D327:D340))/(MAX(C327:C340)-MIN(D327:D340)))</f>
        <v/>
      </c>
      <c r="N340">
        <f>AVERAGE(M338:M340)</f>
        <v/>
      </c>
      <c r="O340">
        <f>IF(ISNUMBER(L340),L340&lt;30,FALSE)</f>
        <v/>
      </c>
      <c r="P340">
        <f>IF(ISNUMBER(N340),N340&lt;20,FALSE)</f>
        <v/>
      </c>
      <c r="Q340">
        <f>IF(AND(ISNUMBER(E320),ISNUMBER(E340)),AND(E340&gt;E320,B340&lt;=E340*1.01,B339&gt;E339*1.01),FALSE)</f>
        <v/>
      </c>
      <c r="R340">
        <f>IF(AND(ISNUMBER(F320),ISNUMBER(F340)),AND(F340&gt;F320,B340&lt;=F340*1.01,B339&gt;F339*1.01),FALSE)</f>
        <v/>
      </c>
      <c r="S340">
        <f>IF(ISNUMBER(G340),B340&lt;G340,FALSE)</f>
        <v/>
      </c>
      <c r="T340">
        <f>OR(O340,P340,Q340,R340,S340)</f>
        <v/>
      </c>
    </row>
    <row r="341">
      <c r="A341">
        <f>IF(Prices!A341="","",Prices!A341)</f>
        <v/>
      </c>
      <c r="B341">
        <f>IF(Prices!E341="","",Prices!E341)</f>
        <v/>
      </c>
      <c r="C341">
        <f>IF(Prices!C341="","",Prices!C341)</f>
        <v/>
      </c>
      <c r="D341">
        <f>IF(Prices!D341="","",Prices!D341)</f>
        <v/>
      </c>
      <c r="E341">
        <f>AVERAGE(B292:B341)</f>
        <v/>
      </c>
      <c r="F341">
        <f>AVERAGE(B142:B341)</f>
        <v/>
      </c>
      <c r="G341">
        <f>AVERAGE(B322:B341)-2*STDEV.P(B322:B341)</f>
        <v/>
      </c>
      <c r="H341">
        <f>MAX(B341-B340,0)</f>
        <v/>
      </c>
      <c r="I341">
        <f>MAX(B340-B341,0)</f>
        <v/>
      </c>
      <c r="J341">
        <f>(J340*13+H341)/14</f>
        <v/>
      </c>
      <c r="K341">
        <f>(K340*13+I341)/14</f>
        <v/>
      </c>
      <c r="L341">
        <f>IF(K341=0,100,100-100/(1+J341/K341))</f>
        <v/>
      </c>
      <c r="M341">
        <f>IF(MAX(C328:C341)=MIN(D328:D341),50,100*(B341-MIN(D328:D341))/(MAX(C328:C341)-MIN(D328:D341)))</f>
        <v/>
      </c>
      <c r="N341">
        <f>AVERAGE(M339:M341)</f>
        <v/>
      </c>
      <c r="O341">
        <f>IF(ISNUMBER(L341),L341&lt;30,FALSE)</f>
        <v/>
      </c>
      <c r="P341">
        <f>IF(ISNUMBER(N341),N341&lt;20,FALSE)</f>
        <v/>
      </c>
      <c r="Q341">
        <f>IF(AND(ISNUMBER(E321),ISNUMBER(E341)),AND(E341&gt;E321,B341&lt;=E341*1.01,B340&gt;E340*1.01),FALSE)</f>
        <v/>
      </c>
      <c r="R341">
        <f>IF(AND(ISNUMBER(F321),ISNUMBER(F341)),AND(F341&gt;F321,B341&lt;=F341*1.01,B340&gt;F340*1.01),FALSE)</f>
        <v/>
      </c>
      <c r="S341">
        <f>IF(ISNUMBER(G341),B341&lt;G341,FALSE)</f>
        <v/>
      </c>
      <c r="T341">
        <f>OR(O341,P341,Q341,R341,S341)</f>
        <v/>
      </c>
    </row>
    <row r="342">
      <c r="A342">
        <f>IF(Prices!A342="","",Prices!A342)</f>
        <v/>
      </c>
      <c r="B342">
        <f>IF(Prices!E342="","",Prices!E342)</f>
        <v/>
      </c>
      <c r="C342">
        <f>IF(Prices!C342="","",Prices!C342)</f>
        <v/>
      </c>
      <c r="D342">
        <f>IF(Prices!D342="","",Prices!D342)</f>
        <v/>
      </c>
      <c r="E342">
        <f>AVERAGE(B293:B342)</f>
        <v/>
      </c>
      <c r="F342">
        <f>AVERAGE(B143:B342)</f>
        <v/>
      </c>
      <c r="G342">
        <f>AVERAGE(B323:B342)-2*STDEV.P(B323:B342)</f>
        <v/>
      </c>
      <c r="H342">
        <f>MAX(B342-B341,0)</f>
        <v/>
      </c>
      <c r="I342">
        <f>MAX(B341-B342,0)</f>
        <v/>
      </c>
      <c r="J342">
        <f>(J341*13+H342)/14</f>
        <v/>
      </c>
      <c r="K342">
        <f>(K341*13+I342)/14</f>
        <v/>
      </c>
      <c r="L342">
        <f>IF(K342=0,100,100-100/(1+J342/K342))</f>
        <v/>
      </c>
      <c r="M342">
        <f>IF(MAX(C329:C342)=MIN(D329:D342),50,100*(B342-MIN(D329:D342))/(MAX(C329:C342)-MIN(D329:D342)))</f>
        <v/>
      </c>
      <c r="N342">
        <f>AVERAGE(M340:M342)</f>
        <v/>
      </c>
      <c r="O342">
        <f>IF(ISNUMBER(L342),L342&lt;30,FALSE)</f>
        <v/>
      </c>
      <c r="P342">
        <f>IF(ISNUMBER(N342),N342&lt;20,FALSE)</f>
        <v/>
      </c>
      <c r="Q342">
        <f>IF(AND(ISNUMBER(E322),ISNUMBER(E342)),AND(E342&gt;E322,B342&lt;=E342*1.01,B341&gt;E341*1.01),FALSE)</f>
        <v/>
      </c>
      <c r="R342">
        <f>IF(AND(ISNUMBER(F322),ISNUMBER(F342)),AND(F342&gt;F322,B342&lt;=F342*1.01,B341&gt;F341*1.01),FALSE)</f>
        <v/>
      </c>
      <c r="S342">
        <f>IF(ISNUMBER(G342),B342&lt;G342,FALSE)</f>
        <v/>
      </c>
      <c r="T342">
        <f>OR(O342,P342,Q342,R342,S342)</f>
        <v/>
      </c>
    </row>
    <row r="343">
      <c r="A343">
        <f>IF(Prices!A343="","",Prices!A343)</f>
        <v/>
      </c>
      <c r="B343">
        <f>IF(Prices!E343="","",Prices!E343)</f>
        <v/>
      </c>
      <c r="C343">
        <f>IF(Prices!C343="","",Prices!C343)</f>
        <v/>
      </c>
      <c r="D343">
        <f>IF(Prices!D343="","",Prices!D343)</f>
        <v/>
      </c>
      <c r="E343">
        <f>AVERAGE(B294:B343)</f>
        <v/>
      </c>
      <c r="F343">
        <f>AVERAGE(B144:B343)</f>
        <v/>
      </c>
      <c r="G343">
        <f>AVERAGE(B324:B343)-2*STDEV.P(B324:B343)</f>
        <v/>
      </c>
      <c r="H343">
        <f>MAX(B343-B342,0)</f>
        <v/>
      </c>
      <c r="I343">
        <f>MAX(B342-B343,0)</f>
        <v/>
      </c>
      <c r="J343">
        <f>(J342*13+H343)/14</f>
        <v/>
      </c>
      <c r="K343">
        <f>(K342*13+I343)/14</f>
        <v/>
      </c>
      <c r="L343">
        <f>IF(K343=0,100,100-100/(1+J343/K343))</f>
        <v/>
      </c>
      <c r="M343">
        <f>IF(MAX(C330:C343)=MIN(D330:D343),50,100*(B343-MIN(D330:D343))/(MAX(C330:C343)-MIN(D330:D343)))</f>
        <v/>
      </c>
      <c r="N343">
        <f>AVERAGE(M341:M343)</f>
        <v/>
      </c>
      <c r="O343">
        <f>IF(ISNUMBER(L343),L343&lt;30,FALSE)</f>
        <v/>
      </c>
      <c r="P343">
        <f>IF(ISNUMBER(N343),N343&lt;20,FALSE)</f>
        <v/>
      </c>
      <c r="Q343">
        <f>IF(AND(ISNUMBER(E323),ISNUMBER(E343)),AND(E343&gt;E323,B343&lt;=E343*1.01,B342&gt;E342*1.01),FALSE)</f>
        <v/>
      </c>
      <c r="R343">
        <f>IF(AND(ISNUMBER(F323),ISNUMBER(F343)),AND(F343&gt;F323,B343&lt;=F343*1.01,B342&gt;F342*1.01),FALSE)</f>
        <v/>
      </c>
      <c r="S343">
        <f>IF(ISNUMBER(G343),B343&lt;G343,FALSE)</f>
        <v/>
      </c>
      <c r="T343">
        <f>OR(O343,P343,Q343,R343,S343)</f>
        <v/>
      </c>
    </row>
    <row r="344">
      <c r="A344">
        <f>IF(Prices!A344="","",Prices!A344)</f>
        <v/>
      </c>
      <c r="B344">
        <f>IF(Prices!E344="","",Prices!E344)</f>
        <v/>
      </c>
      <c r="C344">
        <f>IF(Prices!C344="","",Prices!C344)</f>
        <v/>
      </c>
      <c r="D344">
        <f>IF(Prices!D344="","",Prices!D344)</f>
        <v/>
      </c>
      <c r="E344">
        <f>AVERAGE(B295:B344)</f>
        <v/>
      </c>
      <c r="F344">
        <f>AVERAGE(B145:B344)</f>
        <v/>
      </c>
      <c r="G344">
        <f>AVERAGE(B325:B344)-2*STDEV.P(B325:B344)</f>
        <v/>
      </c>
      <c r="H344">
        <f>MAX(B344-B343,0)</f>
        <v/>
      </c>
      <c r="I344">
        <f>MAX(B343-B344,0)</f>
        <v/>
      </c>
      <c r="J344">
        <f>(J343*13+H344)/14</f>
        <v/>
      </c>
      <c r="K344">
        <f>(K343*13+I344)/14</f>
        <v/>
      </c>
      <c r="L344">
        <f>IF(K344=0,100,100-100/(1+J344/K344))</f>
        <v/>
      </c>
      <c r="M344">
        <f>IF(MAX(C331:C344)=MIN(D331:D344),50,100*(B344-MIN(D331:D344))/(MAX(C331:C344)-MIN(D331:D344)))</f>
        <v/>
      </c>
      <c r="N344">
        <f>AVERAGE(M342:M344)</f>
        <v/>
      </c>
      <c r="O344">
        <f>IF(ISNUMBER(L344),L344&lt;30,FALSE)</f>
        <v/>
      </c>
      <c r="P344">
        <f>IF(ISNUMBER(N344),N344&lt;20,FALSE)</f>
        <v/>
      </c>
      <c r="Q344">
        <f>IF(AND(ISNUMBER(E324),ISNUMBER(E344)),AND(E344&gt;E324,B344&lt;=E344*1.01,B343&gt;E343*1.01),FALSE)</f>
        <v/>
      </c>
      <c r="R344">
        <f>IF(AND(ISNUMBER(F324),ISNUMBER(F344)),AND(F344&gt;F324,B344&lt;=F344*1.01,B343&gt;F343*1.01),FALSE)</f>
        <v/>
      </c>
      <c r="S344">
        <f>IF(ISNUMBER(G344),B344&lt;G344,FALSE)</f>
        <v/>
      </c>
      <c r="T344">
        <f>OR(O344,P344,Q344,R344,S344)</f>
        <v/>
      </c>
    </row>
    <row r="345">
      <c r="A345">
        <f>IF(Prices!A345="","",Prices!A345)</f>
        <v/>
      </c>
      <c r="B345">
        <f>IF(Prices!E345="","",Prices!E345)</f>
        <v/>
      </c>
      <c r="C345">
        <f>IF(Prices!C345="","",Prices!C345)</f>
        <v/>
      </c>
      <c r="D345">
        <f>IF(Prices!D345="","",Prices!D345)</f>
        <v/>
      </c>
      <c r="E345">
        <f>AVERAGE(B296:B345)</f>
        <v/>
      </c>
      <c r="F345">
        <f>AVERAGE(B146:B345)</f>
        <v/>
      </c>
      <c r="G345">
        <f>AVERAGE(B326:B345)-2*STDEV.P(B326:B345)</f>
        <v/>
      </c>
      <c r="H345">
        <f>MAX(B345-B344,0)</f>
        <v/>
      </c>
      <c r="I345">
        <f>MAX(B344-B345,0)</f>
        <v/>
      </c>
      <c r="J345">
        <f>(J344*13+H345)/14</f>
        <v/>
      </c>
      <c r="K345">
        <f>(K344*13+I345)/14</f>
        <v/>
      </c>
      <c r="L345">
        <f>IF(K345=0,100,100-100/(1+J345/K345))</f>
        <v/>
      </c>
      <c r="M345">
        <f>IF(MAX(C332:C345)=MIN(D332:D345),50,100*(B345-MIN(D332:D345))/(MAX(C332:C345)-MIN(D332:D345)))</f>
        <v/>
      </c>
      <c r="N345">
        <f>AVERAGE(M343:M345)</f>
        <v/>
      </c>
      <c r="O345">
        <f>IF(ISNUMBER(L345),L345&lt;30,FALSE)</f>
        <v/>
      </c>
      <c r="P345">
        <f>IF(ISNUMBER(N345),N345&lt;20,FALSE)</f>
        <v/>
      </c>
      <c r="Q345">
        <f>IF(AND(ISNUMBER(E325),ISNUMBER(E345)),AND(E345&gt;E325,B345&lt;=E345*1.01,B344&gt;E344*1.01),FALSE)</f>
        <v/>
      </c>
      <c r="R345">
        <f>IF(AND(ISNUMBER(F325),ISNUMBER(F345)),AND(F345&gt;F325,B345&lt;=F345*1.01,B344&gt;F344*1.01),FALSE)</f>
        <v/>
      </c>
      <c r="S345">
        <f>IF(ISNUMBER(G345),B345&lt;G345,FALSE)</f>
        <v/>
      </c>
      <c r="T345">
        <f>OR(O345,P345,Q345,R345,S345)</f>
        <v/>
      </c>
    </row>
    <row r="346">
      <c r="A346">
        <f>IF(Prices!A346="","",Prices!A346)</f>
        <v/>
      </c>
      <c r="B346">
        <f>IF(Prices!E346="","",Prices!E346)</f>
        <v/>
      </c>
      <c r="C346">
        <f>IF(Prices!C346="","",Prices!C346)</f>
        <v/>
      </c>
      <c r="D346">
        <f>IF(Prices!D346="","",Prices!D346)</f>
        <v/>
      </c>
      <c r="E346">
        <f>AVERAGE(B297:B346)</f>
        <v/>
      </c>
      <c r="F346">
        <f>AVERAGE(B147:B346)</f>
        <v/>
      </c>
      <c r="G346">
        <f>AVERAGE(B327:B346)-2*STDEV.P(B327:B346)</f>
        <v/>
      </c>
      <c r="H346">
        <f>MAX(B346-B345,0)</f>
        <v/>
      </c>
      <c r="I346">
        <f>MAX(B345-B346,0)</f>
        <v/>
      </c>
      <c r="J346">
        <f>(J345*13+H346)/14</f>
        <v/>
      </c>
      <c r="K346">
        <f>(K345*13+I346)/14</f>
        <v/>
      </c>
      <c r="L346">
        <f>IF(K346=0,100,100-100/(1+J346/K346))</f>
        <v/>
      </c>
      <c r="M346">
        <f>IF(MAX(C333:C346)=MIN(D333:D346),50,100*(B346-MIN(D333:D346))/(MAX(C333:C346)-MIN(D333:D346)))</f>
        <v/>
      </c>
      <c r="N346">
        <f>AVERAGE(M344:M346)</f>
        <v/>
      </c>
      <c r="O346">
        <f>IF(ISNUMBER(L346),L346&lt;30,FALSE)</f>
        <v/>
      </c>
      <c r="P346">
        <f>IF(ISNUMBER(N346),N346&lt;20,FALSE)</f>
        <v/>
      </c>
      <c r="Q346">
        <f>IF(AND(ISNUMBER(E326),ISNUMBER(E346)),AND(E346&gt;E326,B346&lt;=E346*1.01,B345&gt;E345*1.01),FALSE)</f>
        <v/>
      </c>
      <c r="R346">
        <f>IF(AND(ISNUMBER(F326),ISNUMBER(F346)),AND(F346&gt;F326,B346&lt;=F346*1.01,B345&gt;F345*1.01),FALSE)</f>
        <v/>
      </c>
      <c r="S346">
        <f>IF(ISNUMBER(G346),B346&lt;G346,FALSE)</f>
        <v/>
      </c>
      <c r="T346">
        <f>OR(O346,P346,Q346,R346,S346)</f>
        <v/>
      </c>
    </row>
    <row r="347">
      <c r="A347">
        <f>IF(Prices!A347="","",Prices!A347)</f>
        <v/>
      </c>
      <c r="B347">
        <f>IF(Prices!E347="","",Prices!E347)</f>
        <v/>
      </c>
      <c r="C347">
        <f>IF(Prices!C347="","",Prices!C347)</f>
        <v/>
      </c>
      <c r="D347">
        <f>IF(Prices!D347="","",Prices!D347)</f>
        <v/>
      </c>
      <c r="E347">
        <f>AVERAGE(B298:B347)</f>
        <v/>
      </c>
      <c r="F347">
        <f>AVERAGE(B148:B347)</f>
        <v/>
      </c>
      <c r="G347">
        <f>AVERAGE(B328:B347)-2*STDEV.P(B328:B347)</f>
        <v/>
      </c>
      <c r="H347">
        <f>MAX(B347-B346,0)</f>
        <v/>
      </c>
      <c r="I347">
        <f>MAX(B346-B347,0)</f>
        <v/>
      </c>
      <c r="J347">
        <f>(J346*13+H347)/14</f>
        <v/>
      </c>
      <c r="K347">
        <f>(K346*13+I347)/14</f>
        <v/>
      </c>
      <c r="L347">
        <f>IF(K347=0,100,100-100/(1+J347/K347))</f>
        <v/>
      </c>
      <c r="M347">
        <f>IF(MAX(C334:C347)=MIN(D334:D347),50,100*(B347-MIN(D334:D347))/(MAX(C334:C347)-MIN(D334:D347)))</f>
        <v/>
      </c>
      <c r="N347">
        <f>AVERAGE(M345:M347)</f>
        <v/>
      </c>
      <c r="O347">
        <f>IF(ISNUMBER(L347),L347&lt;30,FALSE)</f>
        <v/>
      </c>
      <c r="P347">
        <f>IF(ISNUMBER(N347),N347&lt;20,FALSE)</f>
        <v/>
      </c>
      <c r="Q347">
        <f>IF(AND(ISNUMBER(E327),ISNUMBER(E347)),AND(E347&gt;E327,B347&lt;=E347*1.01,B346&gt;E346*1.01),FALSE)</f>
        <v/>
      </c>
      <c r="R347">
        <f>IF(AND(ISNUMBER(F327),ISNUMBER(F347)),AND(F347&gt;F327,B347&lt;=F347*1.01,B346&gt;F346*1.01),FALSE)</f>
        <v/>
      </c>
      <c r="S347">
        <f>IF(ISNUMBER(G347),B347&lt;G347,FALSE)</f>
        <v/>
      </c>
      <c r="T347">
        <f>OR(O347,P347,Q347,R347,S347)</f>
        <v/>
      </c>
    </row>
    <row r="348">
      <c r="A348">
        <f>IF(Prices!A348="","",Prices!A348)</f>
        <v/>
      </c>
      <c r="B348">
        <f>IF(Prices!E348="","",Prices!E348)</f>
        <v/>
      </c>
      <c r="C348">
        <f>IF(Prices!C348="","",Prices!C348)</f>
        <v/>
      </c>
      <c r="D348">
        <f>IF(Prices!D348="","",Prices!D348)</f>
        <v/>
      </c>
      <c r="E348">
        <f>AVERAGE(B299:B348)</f>
        <v/>
      </c>
      <c r="F348">
        <f>AVERAGE(B149:B348)</f>
        <v/>
      </c>
      <c r="G348">
        <f>AVERAGE(B329:B348)-2*STDEV.P(B329:B348)</f>
        <v/>
      </c>
      <c r="H348">
        <f>MAX(B348-B347,0)</f>
        <v/>
      </c>
      <c r="I348">
        <f>MAX(B347-B348,0)</f>
        <v/>
      </c>
      <c r="J348">
        <f>(J347*13+H348)/14</f>
        <v/>
      </c>
      <c r="K348">
        <f>(K347*13+I348)/14</f>
        <v/>
      </c>
      <c r="L348">
        <f>IF(K348=0,100,100-100/(1+J348/K348))</f>
        <v/>
      </c>
      <c r="M348">
        <f>IF(MAX(C335:C348)=MIN(D335:D348),50,100*(B348-MIN(D335:D348))/(MAX(C335:C348)-MIN(D335:D348)))</f>
        <v/>
      </c>
      <c r="N348">
        <f>AVERAGE(M346:M348)</f>
        <v/>
      </c>
      <c r="O348">
        <f>IF(ISNUMBER(L348),L348&lt;30,FALSE)</f>
        <v/>
      </c>
      <c r="P348">
        <f>IF(ISNUMBER(N348),N348&lt;20,FALSE)</f>
        <v/>
      </c>
      <c r="Q348">
        <f>IF(AND(ISNUMBER(E328),ISNUMBER(E348)),AND(E348&gt;E328,B348&lt;=E348*1.01,B347&gt;E347*1.01),FALSE)</f>
        <v/>
      </c>
      <c r="R348">
        <f>IF(AND(ISNUMBER(F328),ISNUMBER(F348)),AND(F348&gt;F328,B348&lt;=F348*1.01,B347&gt;F347*1.01),FALSE)</f>
        <v/>
      </c>
      <c r="S348">
        <f>IF(ISNUMBER(G348),B348&lt;G348,FALSE)</f>
        <v/>
      </c>
      <c r="T348">
        <f>OR(O348,P348,Q348,R348,S348)</f>
        <v/>
      </c>
    </row>
    <row r="349">
      <c r="A349">
        <f>IF(Prices!A349="","",Prices!A349)</f>
        <v/>
      </c>
      <c r="B349">
        <f>IF(Prices!E349="","",Prices!E349)</f>
        <v/>
      </c>
      <c r="C349">
        <f>IF(Prices!C349="","",Prices!C349)</f>
        <v/>
      </c>
      <c r="D349">
        <f>IF(Prices!D349="","",Prices!D349)</f>
        <v/>
      </c>
      <c r="E349">
        <f>AVERAGE(B300:B349)</f>
        <v/>
      </c>
      <c r="F349">
        <f>AVERAGE(B150:B349)</f>
        <v/>
      </c>
      <c r="G349">
        <f>AVERAGE(B330:B349)-2*STDEV.P(B330:B349)</f>
        <v/>
      </c>
      <c r="H349">
        <f>MAX(B349-B348,0)</f>
        <v/>
      </c>
      <c r="I349">
        <f>MAX(B348-B349,0)</f>
        <v/>
      </c>
      <c r="J349">
        <f>(J348*13+H349)/14</f>
        <v/>
      </c>
      <c r="K349">
        <f>(K348*13+I349)/14</f>
        <v/>
      </c>
      <c r="L349">
        <f>IF(K349=0,100,100-100/(1+J349/K349))</f>
        <v/>
      </c>
      <c r="M349">
        <f>IF(MAX(C336:C349)=MIN(D336:D349),50,100*(B349-MIN(D336:D349))/(MAX(C336:C349)-MIN(D336:D349)))</f>
        <v/>
      </c>
      <c r="N349">
        <f>AVERAGE(M347:M349)</f>
        <v/>
      </c>
      <c r="O349">
        <f>IF(ISNUMBER(L349),L349&lt;30,FALSE)</f>
        <v/>
      </c>
      <c r="P349">
        <f>IF(ISNUMBER(N349),N349&lt;20,FALSE)</f>
        <v/>
      </c>
      <c r="Q349">
        <f>IF(AND(ISNUMBER(E329),ISNUMBER(E349)),AND(E349&gt;E329,B349&lt;=E349*1.01,B348&gt;E348*1.01),FALSE)</f>
        <v/>
      </c>
      <c r="R349">
        <f>IF(AND(ISNUMBER(F329),ISNUMBER(F349)),AND(F349&gt;F329,B349&lt;=F349*1.01,B348&gt;F348*1.01),FALSE)</f>
        <v/>
      </c>
      <c r="S349">
        <f>IF(ISNUMBER(G349),B349&lt;G349,FALSE)</f>
        <v/>
      </c>
      <c r="T349">
        <f>OR(O349,P349,Q349,R349,S349)</f>
        <v/>
      </c>
    </row>
    <row r="350">
      <c r="A350">
        <f>IF(Prices!A350="","",Prices!A350)</f>
        <v/>
      </c>
      <c r="B350">
        <f>IF(Prices!E350="","",Prices!E350)</f>
        <v/>
      </c>
      <c r="C350">
        <f>IF(Prices!C350="","",Prices!C350)</f>
        <v/>
      </c>
      <c r="D350">
        <f>IF(Prices!D350="","",Prices!D350)</f>
        <v/>
      </c>
      <c r="E350">
        <f>AVERAGE(B301:B350)</f>
        <v/>
      </c>
      <c r="F350">
        <f>AVERAGE(B151:B350)</f>
        <v/>
      </c>
      <c r="G350">
        <f>AVERAGE(B331:B350)-2*STDEV.P(B331:B350)</f>
        <v/>
      </c>
      <c r="H350">
        <f>MAX(B350-B349,0)</f>
        <v/>
      </c>
      <c r="I350">
        <f>MAX(B349-B350,0)</f>
        <v/>
      </c>
      <c r="J350">
        <f>(J349*13+H350)/14</f>
        <v/>
      </c>
      <c r="K350">
        <f>(K349*13+I350)/14</f>
        <v/>
      </c>
      <c r="L350">
        <f>IF(K350=0,100,100-100/(1+J350/K350))</f>
        <v/>
      </c>
      <c r="M350">
        <f>IF(MAX(C337:C350)=MIN(D337:D350),50,100*(B350-MIN(D337:D350))/(MAX(C337:C350)-MIN(D337:D350)))</f>
        <v/>
      </c>
      <c r="N350">
        <f>AVERAGE(M348:M350)</f>
        <v/>
      </c>
      <c r="O350">
        <f>IF(ISNUMBER(L350),L350&lt;30,FALSE)</f>
        <v/>
      </c>
      <c r="P350">
        <f>IF(ISNUMBER(N350),N350&lt;20,FALSE)</f>
        <v/>
      </c>
      <c r="Q350">
        <f>IF(AND(ISNUMBER(E330),ISNUMBER(E350)),AND(E350&gt;E330,B350&lt;=E350*1.01,B349&gt;E349*1.01),FALSE)</f>
        <v/>
      </c>
      <c r="R350">
        <f>IF(AND(ISNUMBER(F330),ISNUMBER(F350)),AND(F350&gt;F330,B350&lt;=F350*1.01,B349&gt;F349*1.01),FALSE)</f>
        <v/>
      </c>
      <c r="S350">
        <f>IF(ISNUMBER(G350),B350&lt;G350,FALSE)</f>
        <v/>
      </c>
      <c r="T350">
        <f>OR(O350,P350,Q350,R350,S350)</f>
        <v/>
      </c>
    </row>
    <row r="351">
      <c r="A351">
        <f>IF(Prices!A351="","",Prices!A351)</f>
        <v/>
      </c>
      <c r="B351">
        <f>IF(Prices!E351="","",Prices!E351)</f>
        <v/>
      </c>
      <c r="C351">
        <f>IF(Prices!C351="","",Prices!C351)</f>
        <v/>
      </c>
      <c r="D351">
        <f>IF(Prices!D351="","",Prices!D351)</f>
        <v/>
      </c>
      <c r="E351">
        <f>AVERAGE(B302:B351)</f>
        <v/>
      </c>
      <c r="F351">
        <f>AVERAGE(B152:B351)</f>
        <v/>
      </c>
      <c r="G351">
        <f>AVERAGE(B332:B351)-2*STDEV.P(B332:B351)</f>
        <v/>
      </c>
      <c r="H351">
        <f>MAX(B351-B350,0)</f>
        <v/>
      </c>
      <c r="I351">
        <f>MAX(B350-B351,0)</f>
        <v/>
      </c>
      <c r="J351">
        <f>(J350*13+H351)/14</f>
        <v/>
      </c>
      <c r="K351">
        <f>(K350*13+I351)/14</f>
        <v/>
      </c>
      <c r="L351">
        <f>IF(K351=0,100,100-100/(1+J351/K351))</f>
        <v/>
      </c>
      <c r="M351">
        <f>IF(MAX(C338:C351)=MIN(D338:D351),50,100*(B351-MIN(D338:D351))/(MAX(C338:C351)-MIN(D338:D351)))</f>
        <v/>
      </c>
      <c r="N351">
        <f>AVERAGE(M349:M351)</f>
        <v/>
      </c>
      <c r="O351">
        <f>IF(ISNUMBER(L351),L351&lt;30,FALSE)</f>
        <v/>
      </c>
      <c r="P351">
        <f>IF(ISNUMBER(N351),N351&lt;20,FALSE)</f>
        <v/>
      </c>
      <c r="Q351">
        <f>IF(AND(ISNUMBER(E331),ISNUMBER(E351)),AND(E351&gt;E331,B351&lt;=E351*1.01,B350&gt;E350*1.01),FALSE)</f>
        <v/>
      </c>
      <c r="R351">
        <f>IF(AND(ISNUMBER(F331),ISNUMBER(F351)),AND(F351&gt;F331,B351&lt;=F351*1.01,B350&gt;F350*1.01),FALSE)</f>
        <v/>
      </c>
      <c r="S351">
        <f>IF(ISNUMBER(G351),B351&lt;G351,FALSE)</f>
        <v/>
      </c>
      <c r="T351">
        <f>OR(O351,P351,Q351,R351,S351)</f>
        <v/>
      </c>
    </row>
    <row r="352">
      <c r="A352">
        <f>IF(Prices!A352="","",Prices!A352)</f>
        <v/>
      </c>
      <c r="B352">
        <f>IF(Prices!E352="","",Prices!E352)</f>
        <v/>
      </c>
      <c r="C352">
        <f>IF(Prices!C352="","",Prices!C352)</f>
        <v/>
      </c>
      <c r="D352">
        <f>IF(Prices!D352="","",Prices!D352)</f>
        <v/>
      </c>
      <c r="E352">
        <f>AVERAGE(B303:B352)</f>
        <v/>
      </c>
      <c r="F352">
        <f>AVERAGE(B153:B352)</f>
        <v/>
      </c>
      <c r="G352">
        <f>AVERAGE(B333:B352)-2*STDEV.P(B333:B352)</f>
        <v/>
      </c>
      <c r="H352">
        <f>MAX(B352-B351,0)</f>
        <v/>
      </c>
      <c r="I352">
        <f>MAX(B351-B352,0)</f>
        <v/>
      </c>
      <c r="J352">
        <f>(J351*13+H352)/14</f>
        <v/>
      </c>
      <c r="K352">
        <f>(K351*13+I352)/14</f>
        <v/>
      </c>
      <c r="L352">
        <f>IF(K352=0,100,100-100/(1+J352/K352))</f>
        <v/>
      </c>
      <c r="M352">
        <f>IF(MAX(C339:C352)=MIN(D339:D352),50,100*(B352-MIN(D339:D352))/(MAX(C339:C352)-MIN(D339:D352)))</f>
        <v/>
      </c>
      <c r="N352">
        <f>AVERAGE(M350:M352)</f>
        <v/>
      </c>
      <c r="O352">
        <f>IF(ISNUMBER(L352),L352&lt;30,FALSE)</f>
        <v/>
      </c>
      <c r="P352">
        <f>IF(ISNUMBER(N352),N352&lt;20,FALSE)</f>
        <v/>
      </c>
      <c r="Q352">
        <f>IF(AND(ISNUMBER(E332),ISNUMBER(E352)),AND(E352&gt;E332,B352&lt;=E352*1.01,B351&gt;E351*1.01),FALSE)</f>
        <v/>
      </c>
      <c r="R352">
        <f>IF(AND(ISNUMBER(F332),ISNUMBER(F352)),AND(F352&gt;F332,B352&lt;=F352*1.01,B351&gt;F351*1.01),FALSE)</f>
        <v/>
      </c>
      <c r="S352">
        <f>IF(ISNUMBER(G352),B352&lt;G352,FALSE)</f>
        <v/>
      </c>
      <c r="T352">
        <f>OR(O352,P352,Q352,R352,S352)</f>
        <v/>
      </c>
    </row>
    <row r="353">
      <c r="A353">
        <f>IF(Prices!A353="","",Prices!A353)</f>
        <v/>
      </c>
      <c r="B353">
        <f>IF(Prices!E353="","",Prices!E353)</f>
        <v/>
      </c>
      <c r="C353">
        <f>IF(Prices!C353="","",Prices!C353)</f>
        <v/>
      </c>
      <c r="D353">
        <f>IF(Prices!D353="","",Prices!D353)</f>
        <v/>
      </c>
      <c r="E353">
        <f>AVERAGE(B304:B353)</f>
        <v/>
      </c>
      <c r="F353">
        <f>AVERAGE(B154:B353)</f>
        <v/>
      </c>
      <c r="G353">
        <f>AVERAGE(B334:B353)-2*STDEV.P(B334:B353)</f>
        <v/>
      </c>
      <c r="H353">
        <f>MAX(B353-B352,0)</f>
        <v/>
      </c>
      <c r="I353">
        <f>MAX(B352-B353,0)</f>
        <v/>
      </c>
      <c r="J353">
        <f>(J352*13+H353)/14</f>
        <v/>
      </c>
      <c r="K353">
        <f>(K352*13+I353)/14</f>
        <v/>
      </c>
      <c r="L353">
        <f>IF(K353=0,100,100-100/(1+J353/K353))</f>
        <v/>
      </c>
      <c r="M353">
        <f>IF(MAX(C340:C353)=MIN(D340:D353),50,100*(B353-MIN(D340:D353))/(MAX(C340:C353)-MIN(D340:D353)))</f>
        <v/>
      </c>
      <c r="N353">
        <f>AVERAGE(M351:M353)</f>
        <v/>
      </c>
      <c r="O353">
        <f>IF(ISNUMBER(L353),L353&lt;30,FALSE)</f>
        <v/>
      </c>
      <c r="P353">
        <f>IF(ISNUMBER(N353),N353&lt;20,FALSE)</f>
        <v/>
      </c>
      <c r="Q353">
        <f>IF(AND(ISNUMBER(E333),ISNUMBER(E353)),AND(E353&gt;E333,B353&lt;=E353*1.01,B352&gt;E352*1.01),FALSE)</f>
        <v/>
      </c>
      <c r="R353">
        <f>IF(AND(ISNUMBER(F333),ISNUMBER(F353)),AND(F353&gt;F333,B353&lt;=F353*1.01,B352&gt;F352*1.01),FALSE)</f>
        <v/>
      </c>
      <c r="S353">
        <f>IF(ISNUMBER(G353),B353&lt;G353,FALSE)</f>
        <v/>
      </c>
      <c r="T353">
        <f>OR(O353,P353,Q353,R353,S353)</f>
        <v/>
      </c>
    </row>
    <row r="354">
      <c r="A354">
        <f>IF(Prices!A354="","",Prices!A354)</f>
        <v/>
      </c>
      <c r="B354">
        <f>IF(Prices!E354="","",Prices!E354)</f>
        <v/>
      </c>
      <c r="C354">
        <f>IF(Prices!C354="","",Prices!C354)</f>
        <v/>
      </c>
      <c r="D354">
        <f>IF(Prices!D354="","",Prices!D354)</f>
        <v/>
      </c>
      <c r="E354">
        <f>AVERAGE(B305:B354)</f>
        <v/>
      </c>
      <c r="F354">
        <f>AVERAGE(B155:B354)</f>
        <v/>
      </c>
      <c r="G354">
        <f>AVERAGE(B335:B354)-2*STDEV.P(B335:B354)</f>
        <v/>
      </c>
      <c r="H354">
        <f>MAX(B354-B353,0)</f>
        <v/>
      </c>
      <c r="I354">
        <f>MAX(B353-B354,0)</f>
        <v/>
      </c>
      <c r="J354">
        <f>(J353*13+H354)/14</f>
        <v/>
      </c>
      <c r="K354">
        <f>(K353*13+I354)/14</f>
        <v/>
      </c>
      <c r="L354">
        <f>IF(K354=0,100,100-100/(1+J354/K354))</f>
        <v/>
      </c>
      <c r="M354">
        <f>IF(MAX(C341:C354)=MIN(D341:D354),50,100*(B354-MIN(D341:D354))/(MAX(C341:C354)-MIN(D341:D354)))</f>
        <v/>
      </c>
      <c r="N354">
        <f>AVERAGE(M352:M354)</f>
        <v/>
      </c>
      <c r="O354">
        <f>IF(ISNUMBER(L354),L354&lt;30,FALSE)</f>
        <v/>
      </c>
      <c r="P354">
        <f>IF(ISNUMBER(N354),N354&lt;20,FALSE)</f>
        <v/>
      </c>
      <c r="Q354">
        <f>IF(AND(ISNUMBER(E334),ISNUMBER(E354)),AND(E354&gt;E334,B354&lt;=E354*1.01,B353&gt;E353*1.01),FALSE)</f>
        <v/>
      </c>
      <c r="R354">
        <f>IF(AND(ISNUMBER(F334),ISNUMBER(F354)),AND(F354&gt;F334,B354&lt;=F354*1.01,B353&gt;F353*1.01),FALSE)</f>
        <v/>
      </c>
      <c r="S354">
        <f>IF(ISNUMBER(G354),B354&lt;G354,FALSE)</f>
        <v/>
      </c>
      <c r="T354">
        <f>OR(O354,P354,Q354,R354,S354)</f>
        <v/>
      </c>
    </row>
    <row r="355">
      <c r="A355">
        <f>IF(Prices!A355="","",Prices!A355)</f>
        <v/>
      </c>
      <c r="B355">
        <f>IF(Prices!E355="","",Prices!E355)</f>
        <v/>
      </c>
      <c r="C355">
        <f>IF(Prices!C355="","",Prices!C355)</f>
        <v/>
      </c>
      <c r="D355">
        <f>IF(Prices!D355="","",Prices!D355)</f>
        <v/>
      </c>
      <c r="E355">
        <f>AVERAGE(B306:B355)</f>
        <v/>
      </c>
      <c r="F355">
        <f>AVERAGE(B156:B355)</f>
        <v/>
      </c>
      <c r="G355">
        <f>AVERAGE(B336:B355)-2*STDEV.P(B336:B355)</f>
        <v/>
      </c>
      <c r="H355">
        <f>MAX(B355-B354,0)</f>
        <v/>
      </c>
      <c r="I355">
        <f>MAX(B354-B355,0)</f>
        <v/>
      </c>
      <c r="J355">
        <f>(J354*13+H355)/14</f>
        <v/>
      </c>
      <c r="K355">
        <f>(K354*13+I355)/14</f>
        <v/>
      </c>
      <c r="L355">
        <f>IF(K355=0,100,100-100/(1+J355/K355))</f>
        <v/>
      </c>
      <c r="M355">
        <f>IF(MAX(C342:C355)=MIN(D342:D355),50,100*(B355-MIN(D342:D355))/(MAX(C342:C355)-MIN(D342:D355)))</f>
        <v/>
      </c>
      <c r="N355">
        <f>AVERAGE(M353:M355)</f>
        <v/>
      </c>
      <c r="O355">
        <f>IF(ISNUMBER(L355),L355&lt;30,FALSE)</f>
        <v/>
      </c>
      <c r="P355">
        <f>IF(ISNUMBER(N355),N355&lt;20,FALSE)</f>
        <v/>
      </c>
      <c r="Q355">
        <f>IF(AND(ISNUMBER(E335),ISNUMBER(E355)),AND(E355&gt;E335,B355&lt;=E355*1.01,B354&gt;E354*1.01),FALSE)</f>
        <v/>
      </c>
      <c r="R355">
        <f>IF(AND(ISNUMBER(F335),ISNUMBER(F355)),AND(F355&gt;F335,B355&lt;=F355*1.01,B354&gt;F354*1.01),FALSE)</f>
        <v/>
      </c>
      <c r="S355">
        <f>IF(ISNUMBER(G355),B355&lt;G355,FALSE)</f>
        <v/>
      </c>
      <c r="T355">
        <f>OR(O355,P355,Q355,R355,S355)</f>
        <v/>
      </c>
    </row>
    <row r="356">
      <c r="A356">
        <f>IF(Prices!A356="","",Prices!A356)</f>
        <v/>
      </c>
      <c r="B356">
        <f>IF(Prices!E356="","",Prices!E356)</f>
        <v/>
      </c>
      <c r="C356">
        <f>IF(Prices!C356="","",Prices!C356)</f>
        <v/>
      </c>
      <c r="D356">
        <f>IF(Prices!D356="","",Prices!D356)</f>
        <v/>
      </c>
      <c r="E356">
        <f>AVERAGE(B307:B356)</f>
        <v/>
      </c>
      <c r="F356">
        <f>AVERAGE(B157:B356)</f>
        <v/>
      </c>
      <c r="G356">
        <f>AVERAGE(B337:B356)-2*STDEV.P(B337:B356)</f>
        <v/>
      </c>
      <c r="H356">
        <f>MAX(B356-B355,0)</f>
        <v/>
      </c>
      <c r="I356">
        <f>MAX(B355-B356,0)</f>
        <v/>
      </c>
      <c r="J356">
        <f>(J355*13+H356)/14</f>
        <v/>
      </c>
      <c r="K356">
        <f>(K355*13+I356)/14</f>
        <v/>
      </c>
      <c r="L356">
        <f>IF(K356=0,100,100-100/(1+J356/K356))</f>
        <v/>
      </c>
      <c r="M356">
        <f>IF(MAX(C343:C356)=MIN(D343:D356),50,100*(B356-MIN(D343:D356))/(MAX(C343:C356)-MIN(D343:D356)))</f>
        <v/>
      </c>
      <c r="N356">
        <f>AVERAGE(M354:M356)</f>
        <v/>
      </c>
      <c r="O356">
        <f>IF(ISNUMBER(L356),L356&lt;30,FALSE)</f>
        <v/>
      </c>
      <c r="P356">
        <f>IF(ISNUMBER(N356),N356&lt;20,FALSE)</f>
        <v/>
      </c>
      <c r="Q356">
        <f>IF(AND(ISNUMBER(E336),ISNUMBER(E356)),AND(E356&gt;E336,B356&lt;=E356*1.01,B355&gt;E355*1.01),FALSE)</f>
        <v/>
      </c>
      <c r="R356">
        <f>IF(AND(ISNUMBER(F336),ISNUMBER(F356)),AND(F356&gt;F336,B356&lt;=F356*1.01,B355&gt;F355*1.01),FALSE)</f>
        <v/>
      </c>
      <c r="S356">
        <f>IF(ISNUMBER(G356),B356&lt;G356,FALSE)</f>
        <v/>
      </c>
      <c r="T356">
        <f>OR(O356,P356,Q356,R356,S356)</f>
        <v/>
      </c>
    </row>
    <row r="357">
      <c r="A357">
        <f>IF(Prices!A357="","",Prices!A357)</f>
        <v/>
      </c>
      <c r="B357">
        <f>IF(Prices!E357="","",Prices!E357)</f>
        <v/>
      </c>
      <c r="C357">
        <f>IF(Prices!C357="","",Prices!C357)</f>
        <v/>
      </c>
      <c r="D357">
        <f>IF(Prices!D357="","",Prices!D357)</f>
        <v/>
      </c>
      <c r="E357">
        <f>AVERAGE(B308:B357)</f>
        <v/>
      </c>
      <c r="F357">
        <f>AVERAGE(B158:B357)</f>
        <v/>
      </c>
      <c r="G357">
        <f>AVERAGE(B338:B357)-2*STDEV.P(B338:B357)</f>
        <v/>
      </c>
      <c r="H357">
        <f>MAX(B357-B356,0)</f>
        <v/>
      </c>
      <c r="I357">
        <f>MAX(B356-B357,0)</f>
        <v/>
      </c>
      <c r="J357">
        <f>(J356*13+H357)/14</f>
        <v/>
      </c>
      <c r="K357">
        <f>(K356*13+I357)/14</f>
        <v/>
      </c>
      <c r="L357">
        <f>IF(K357=0,100,100-100/(1+J357/K357))</f>
        <v/>
      </c>
      <c r="M357">
        <f>IF(MAX(C344:C357)=MIN(D344:D357),50,100*(B357-MIN(D344:D357))/(MAX(C344:C357)-MIN(D344:D357)))</f>
        <v/>
      </c>
      <c r="N357">
        <f>AVERAGE(M355:M357)</f>
        <v/>
      </c>
      <c r="O357">
        <f>IF(ISNUMBER(L357),L357&lt;30,FALSE)</f>
        <v/>
      </c>
      <c r="P357">
        <f>IF(ISNUMBER(N357),N357&lt;20,FALSE)</f>
        <v/>
      </c>
      <c r="Q357">
        <f>IF(AND(ISNUMBER(E337),ISNUMBER(E357)),AND(E357&gt;E337,B357&lt;=E357*1.01,B356&gt;E356*1.01),FALSE)</f>
        <v/>
      </c>
      <c r="R357">
        <f>IF(AND(ISNUMBER(F337),ISNUMBER(F357)),AND(F357&gt;F337,B357&lt;=F357*1.01,B356&gt;F356*1.01),FALSE)</f>
        <v/>
      </c>
      <c r="S357">
        <f>IF(ISNUMBER(G357),B357&lt;G357,FALSE)</f>
        <v/>
      </c>
      <c r="T357">
        <f>OR(O357,P357,Q357,R357,S357)</f>
        <v/>
      </c>
    </row>
    <row r="358">
      <c r="A358">
        <f>IF(Prices!A358="","",Prices!A358)</f>
        <v/>
      </c>
      <c r="B358">
        <f>IF(Prices!E358="","",Prices!E358)</f>
        <v/>
      </c>
      <c r="C358">
        <f>IF(Prices!C358="","",Prices!C358)</f>
        <v/>
      </c>
      <c r="D358">
        <f>IF(Prices!D358="","",Prices!D358)</f>
        <v/>
      </c>
      <c r="E358">
        <f>AVERAGE(B309:B358)</f>
        <v/>
      </c>
      <c r="F358">
        <f>AVERAGE(B159:B358)</f>
        <v/>
      </c>
      <c r="G358">
        <f>AVERAGE(B339:B358)-2*STDEV.P(B339:B358)</f>
        <v/>
      </c>
      <c r="H358">
        <f>MAX(B358-B357,0)</f>
        <v/>
      </c>
      <c r="I358">
        <f>MAX(B357-B358,0)</f>
        <v/>
      </c>
      <c r="J358">
        <f>(J357*13+H358)/14</f>
        <v/>
      </c>
      <c r="K358">
        <f>(K357*13+I358)/14</f>
        <v/>
      </c>
      <c r="L358">
        <f>IF(K358=0,100,100-100/(1+J358/K358))</f>
        <v/>
      </c>
      <c r="M358">
        <f>IF(MAX(C345:C358)=MIN(D345:D358),50,100*(B358-MIN(D345:D358))/(MAX(C345:C358)-MIN(D345:D358)))</f>
        <v/>
      </c>
      <c r="N358">
        <f>AVERAGE(M356:M358)</f>
        <v/>
      </c>
      <c r="O358">
        <f>IF(ISNUMBER(L358),L358&lt;30,FALSE)</f>
        <v/>
      </c>
      <c r="P358">
        <f>IF(ISNUMBER(N358),N358&lt;20,FALSE)</f>
        <v/>
      </c>
      <c r="Q358">
        <f>IF(AND(ISNUMBER(E338),ISNUMBER(E358)),AND(E358&gt;E338,B358&lt;=E358*1.01,B357&gt;E357*1.01),FALSE)</f>
        <v/>
      </c>
      <c r="R358">
        <f>IF(AND(ISNUMBER(F338),ISNUMBER(F358)),AND(F358&gt;F338,B358&lt;=F358*1.01,B357&gt;F357*1.01),FALSE)</f>
        <v/>
      </c>
      <c r="S358">
        <f>IF(ISNUMBER(G358),B358&lt;G358,FALSE)</f>
        <v/>
      </c>
      <c r="T358">
        <f>OR(O358,P358,Q358,R358,S358)</f>
        <v/>
      </c>
    </row>
    <row r="359">
      <c r="A359">
        <f>IF(Prices!A359="","",Prices!A359)</f>
        <v/>
      </c>
      <c r="B359">
        <f>IF(Prices!E359="","",Prices!E359)</f>
        <v/>
      </c>
      <c r="C359">
        <f>IF(Prices!C359="","",Prices!C359)</f>
        <v/>
      </c>
      <c r="D359">
        <f>IF(Prices!D359="","",Prices!D359)</f>
        <v/>
      </c>
      <c r="E359">
        <f>AVERAGE(B310:B359)</f>
        <v/>
      </c>
      <c r="F359">
        <f>AVERAGE(B160:B359)</f>
        <v/>
      </c>
      <c r="G359">
        <f>AVERAGE(B340:B359)-2*STDEV.P(B340:B359)</f>
        <v/>
      </c>
      <c r="H359">
        <f>MAX(B359-B358,0)</f>
        <v/>
      </c>
      <c r="I359">
        <f>MAX(B358-B359,0)</f>
        <v/>
      </c>
      <c r="J359">
        <f>(J358*13+H359)/14</f>
        <v/>
      </c>
      <c r="K359">
        <f>(K358*13+I359)/14</f>
        <v/>
      </c>
      <c r="L359">
        <f>IF(K359=0,100,100-100/(1+J359/K359))</f>
        <v/>
      </c>
      <c r="M359">
        <f>IF(MAX(C346:C359)=MIN(D346:D359),50,100*(B359-MIN(D346:D359))/(MAX(C346:C359)-MIN(D346:D359)))</f>
        <v/>
      </c>
      <c r="N359">
        <f>AVERAGE(M357:M359)</f>
        <v/>
      </c>
      <c r="O359">
        <f>IF(ISNUMBER(L359),L359&lt;30,FALSE)</f>
        <v/>
      </c>
      <c r="P359">
        <f>IF(ISNUMBER(N359),N359&lt;20,FALSE)</f>
        <v/>
      </c>
      <c r="Q359">
        <f>IF(AND(ISNUMBER(E339),ISNUMBER(E359)),AND(E359&gt;E339,B359&lt;=E359*1.01,B358&gt;E358*1.01),FALSE)</f>
        <v/>
      </c>
      <c r="R359">
        <f>IF(AND(ISNUMBER(F339),ISNUMBER(F359)),AND(F359&gt;F339,B359&lt;=F359*1.01,B358&gt;F358*1.01),FALSE)</f>
        <v/>
      </c>
      <c r="S359">
        <f>IF(ISNUMBER(G359),B359&lt;G359,FALSE)</f>
        <v/>
      </c>
      <c r="T359">
        <f>OR(O359,P359,Q359,R359,S359)</f>
        <v/>
      </c>
    </row>
    <row r="360">
      <c r="A360">
        <f>IF(Prices!A360="","",Prices!A360)</f>
        <v/>
      </c>
      <c r="B360">
        <f>IF(Prices!E360="","",Prices!E360)</f>
        <v/>
      </c>
      <c r="C360">
        <f>IF(Prices!C360="","",Prices!C360)</f>
        <v/>
      </c>
      <c r="D360">
        <f>IF(Prices!D360="","",Prices!D360)</f>
        <v/>
      </c>
      <c r="E360">
        <f>AVERAGE(B311:B360)</f>
        <v/>
      </c>
      <c r="F360">
        <f>AVERAGE(B161:B360)</f>
        <v/>
      </c>
      <c r="G360">
        <f>AVERAGE(B341:B360)-2*STDEV.P(B341:B360)</f>
        <v/>
      </c>
      <c r="H360">
        <f>MAX(B360-B359,0)</f>
        <v/>
      </c>
      <c r="I360">
        <f>MAX(B359-B360,0)</f>
        <v/>
      </c>
      <c r="J360">
        <f>(J359*13+H360)/14</f>
        <v/>
      </c>
      <c r="K360">
        <f>(K359*13+I360)/14</f>
        <v/>
      </c>
      <c r="L360">
        <f>IF(K360=0,100,100-100/(1+J360/K360))</f>
        <v/>
      </c>
      <c r="M360">
        <f>IF(MAX(C347:C360)=MIN(D347:D360),50,100*(B360-MIN(D347:D360))/(MAX(C347:C360)-MIN(D347:D360)))</f>
        <v/>
      </c>
      <c r="N360">
        <f>AVERAGE(M358:M360)</f>
        <v/>
      </c>
      <c r="O360">
        <f>IF(ISNUMBER(L360),L360&lt;30,FALSE)</f>
        <v/>
      </c>
      <c r="P360">
        <f>IF(ISNUMBER(N360),N360&lt;20,FALSE)</f>
        <v/>
      </c>
      <c r="Q360">
        <f>IF(AND(ISNUMBER(E340),ISNUMBER(E360)),AND(E360&gt;E340,B360&lt;=E360*1.01,B359&gt;E359*1.01),FALSE)</f>
        <v/>
      </c>
      <c r="R360">
        <f>IF(AND(ISNUMBER(F340),ISNUMBER(F360)),AND(F360&gt;F340,B360&lt;=F360*1.01,B359&gt;F359*1.01),FALSE)</f>
        <v/>
      </c>
      <c r="S360">
        <f>IF(ISNUMBER(G360),B360&lt;G360,FALSE)</f>
        <v/>
      </c>
      <c r="T360">
        <f>OR(O360,P360,Q360,R360,S360)</f>
        <v/>
      </c>
    </row>
    <row r="361">
      <c r="A361">
        <f>IF(Prices!A361="","",Prices!A361)</f>
        <v/>
      </c>
      <c r="B361">
        <f>IF(Prices!E361="","",Prices!E361)</f>
        <v/>
      </c>
      <c r="C361">
        <f>IF(Prices!C361="","",Prices!C361)</f>
        <v/>
      </c>
      <c r="D361">
        <f>IF(Prices!D361="","",Prices!D361)</f>
        <v/>
      </c>
      <c r="E361">
        <f>AVERAGE(B312:B361)</f>
        <v/>
      </c>
      <c r="F361">
        <f>AVERAGE(B162:B361)</f>
        <v/>
      </c>
      <c r="G361">
        <f>AVERAGE(B342:B361)-2*STDEV.P(B342:B361)</f>
        <v/>
      </c>
      <c r="H361">
        <f>MAX(B361-B360,0)</f>
        <v/>
      </c>
      <c r="I361">
        <f>MAX(B360-B361,0)</f>
        <v/>
      </c>
      <c r="J361">
        <f>(J360*13+H361)/14</f>
        <v/>
      </c>
      <c r="K361">
        <f>(K360*13+I361)/14</f>
        <v/>
      </c>
      <c r="L361">
        <f>IF(K361=0,100,100-100/(1+J361/K361))</f>
        <v/>
      </c>
      <c r="M361">
        <f>IF(MAX(C348:C361)=MIN(D348:D361),50,100*(B361-MIN(D348:D361))/(MAX(C348:C361)-MIN(D348:D361)))</f>
        <v/>
      </c>
      <c r="N361">
        <f>AVERAGE(M359:M361)</f>
        <v/>
      </c>
      <c r="O361">
        <f>IF(ISNUMBER(L361),L361&lt;30,FALSE)</f>
        <v/>
      </c>
      <c r="P361">
        <f>IF(ISNUMBER(N361),N361&lt;20,FALSE)</f>
        <v/>
      </c>
      <c r="Q361">
        <f>IF(AND(ISNUMBER(E341),ISNUMBER(E361)),AND(E361&gt;E341,B361&lt;=E361*1.01,B360&gt;E360*1.01),FALSE)</f>
        <v/>
      </c>
      <c r="R361">
        <f>IF(AND(ISNUMBER(F341),ISNUMBER(F361)),AND(F361&gt;F341,B361&lt;=F361*1.01,B360&gt;F360*1.01),FALSE)</f>
        <v/>
      </c>
      <c r="S361">
        <f>IF(ISNUMBER(G361),B361&lt;G361,FALSE)</f>
        <v/>
      </c>
      <c r="T361">
        <f>OR(O361,P361,Q361,R361,S361)</f>
        <v/>
      </c>
    </row>
    <row r="362">
      <c r="A362">
        <f>IF(Prices!A362="","",Prices!A362)</f>
        <v/>
      </c>
      <c r="B362">
        <f>IF(Prices!E362="","",Prices!E362)</f>
        <v/>
      </c>
      <c r="C362">
        <f>IF(Prices!C362="","",Prices!C362)</f>
        <v/>
      </c>
      <c r="D362">
        <f>IF(Prices!D362="","",Prices!D362)</f>
        <v/>
      </c>
      <c r="E362">
        <f>AVERAGE(B313:B362)</f>
        <v/>
      </c>
      <c r="F362">
        <f>AVERAGE(B163:B362)</f>
        <v/>
      </c>
      <c r="G362">
        <f>AVERAGE(B343:B362)-2*STDEV.P(B343:B362)</f>
        <v/>
      </c>
      <c r="H362">
        <f>MAX(B362-B361,0)</f>
        <v/>
      </c>
      <c r="I362">
        <f>MAX(B361-B362,0)</f>
        <v/>
      </c>
      <c r="J362">
        <f>(J361*13+H362)/14</f>
        <v/>
      </c>
      <c r="K362">
        <f>(K361*13+I362)/14</f>
        <v/>
      </c>
      <c r="L362">
        <f>IF(K362=0,100,100-100/(1+J362/K362))</f>
        <v/>
      </c>
      <c r="M362">
        <f>IF(MAX(C349:C362)=MIN(D349:D362),50,100*(B362-MIN(D349:D362))/(MAX(C349:C362)-MIN(D349:D362)))</f>
        <v/>
      </c>
      <c r="N362">
        <f>AVERAGE(M360:M362)</f>
        <v/>
      </c>
      <c r="O362">
        <f>IF(ISNUMBER(L362),L362&lt;30,FALSE)</f>
        <v/>
      </c>
      <c r="P362">
        <f>IF(ISNUMBER(N362),N362&lt;20,FALSE)</f>
        <v/>
      </c>
      <c r="Q362">
        <f>IF(AND(ISNUMBER(E342),ISNUMBER(E362)),AND(E362&gt;E342,B362&lt;=E362*1.01,B361&gt;E361*1.01),FALSE)</f>
        <v/>
      </c>
      <c r="R362">
        <f>IF(AND(ISNUMBER(F342),ISNUMBER(F362)),AND(F362&gt;F342,B362&lt;=F362*1.01,B361&gt;F361*1.01),FALSE)</f>
        <v/>
      </c>
      <c r="S362">
        <f>IF(ISNUMBER(G362),B362&lt;G362,FALSE)</f>
        <v/>
      </c>
      <c r="T362">
        <f>OR(O362,P362,Q362,R362,S362)</f>
        <v/>
      </c>
    </row>
    <row r="363">
      <c r="A363">
        <f>IF(Prices!A363="","",Prices!A363)</f>
        <v/>
      </c>
      <c r="B363">
        <f>IF(Prices!E363="","",Prices!E363)</f>
        <v/>
      </c>
      <c r="C363">
        <f>IF(Prices!C363="","",Prices!C363)</f>
        <v/>
      </c>
      <c r="D363">
        <f>IF(Prices!D363="","",Prices!D363)</f>
        <v/>
      </c>
      <c r="E363">
        <f>AVERAGE(B314:B363)</f>
        <v/>
      </c>
      <c r="F363">
        <f>AVERAGE(B164:B363)</f>
        <v/>
      </c>
      <c r="G363">
        <f>AVERAGE(B344:B363)-2*STDEV.P(B344:B363)</f>
        <v/>
      </c>
      <c r="H363">
        <f>MAX(B363-B362,0)</f>
        <v/>
      </c>
      <c r="I363">
        <f>MAX(B362-B363,0)</f>
        <v/>
      </c>
      <c r="J363">
        <f>(J362*13+H363)/14</f>
        <v/>
      </c>
      <c r="K363">
        <f>(K362*13+I363)/14</f>
        <v/>
      </c>
      <c r="L363">
        <f>IF(K363=0,100,100-100/(1+J363/K363))</f>
        <v/>
      </c>
      <c r="M363">
        <f>IF(MAX(C350:C363)=MIN(D350:D363),50,100*(B363-MIN(D350:D363))/(MAX(C350:C363)-MIN(D350:D363)))</f>
        <v/>
      </c>
      <c r="N363">
        <f>AVERAGE(M361:M363)</f>
        <v/>
      </c>
      <c r="O363">
        <f>IF(ISNUMBER(L363),L363&lt;30,FALSE)</f>
        <v/>
      </c>
      <c r="P363">
        <f>IF(ISNUMBER(N363),N363&lt;20,FALSE)</f>
        <v/>
      </c>
      <c r="Q363">
        <f>IF(AND(ISNUMBER(E343),ISNUMBER(E363)),AND(E363&gt;E343,B363&lt;=E363*1.01,B362&gt;E362*1.01),FALSE)</f>
        <v/>
      </c>
      <c r="R363">
        <f>IF(AND(ISNUMBER(F343),ISNUMBER(F363)),AND(F363&gt;F343,B363&lt;=F363*1.01,B362&gt;F362*1.01),FALSE)</f>
        <v/>
      </c>
      <c r="S363">
        <f>IF(ISNUMBER(G363),B363&lt;G363,FALSE)</f>
        <v/>
      </c>
      <c r="T363">
        <f>OR(O363,P363,Q363,R363,S363)</f>
        <v/>
      </c>
    </row>
    <row r="364">
      <c r="A364">
        <f>IF(Prices!A364="","",Prices!A364)</f>
        <v/>
      </c>
      <c r="B364">
        <f>IF(Prices!E364="","",Prices!E364)</f>
        <v/>
      </c>
      <c r="C364">
        <f>IF(Prices!C364="","",Prices!C364)</f>
        <v/>
      </c>
      <c r="D364">
        <f>IF(Prices!D364="","",Prices!D364)</f>
        <v/>
      </c>
      <c r="E364">
        <f>AVERAGE(B315:B364)</f>
        <v/>
      </c>
      <c r="F364">
        <f>AVERAGE(B165:B364)</f>
        <v/>
      </c>
      <c r="G364">
        <f>AVERAGE(B345:B364)-2*STDEV.P(B345:B364)</f>
        <v/>
      </c>
      <c r="H364">
        <f>MAX(B364-B363,0)</f>
        <v/>
      </c>
      <c r="I364">
        <f>MAX(B363-B364,0)</f>
        <v/>
      </c>
      <c r="J364">
        <f>(J363*13+H364)/14</f>
        <v/>
      </c>
      <c r="K364">
        <f>(K363*13+I364)/14</f>
        <v/>
      </c>
      <c r="L364">
        <f>IF(K364=0,100,100-100/(1+J364/K364))</f>
        <v/>
      </c>
      <c r="M364">
        <f>IF(MAX(C351:C364)=MIN(D351:D364),50,100*(B364-MIN(D351:D364))/(MAX(C351:C364)-MIN(D351:D364)))</f>
        <v/>
      </c>
      <c r="N364">
        <f>AVERAGE(M362:M364)</f>
        <v/>
      </c>
      <c r="O364">
        <f>IF(ISNUMBER(L364),L364&lt;30,FALSE)</f>
        <v/>
      </c>
      <c r="P364">
        <f>IF(ISNUMBER(N364),N364&lt;20,FALSE)</f>
        <v/>
      </c>
      <c r="Q364">
        <f>IF(AND(ISNUMBER(E344),ISNUMBER(E364)),AND(E364&gt;E344,B364&lt;=E364*1.01,B363&gt;E363*1.01),FALSE)</f>
        <v/>
      </c>
      <c r="R364">
        <f>IF(AND(ISNUMBER(F344),ISNUMBER(F364)),AND(F364&gt;F344,B364&lt;=F364*1.01,B363&gt;F363*1.01),FALSE)</f>
        <v/>
      </c>
      <c r="S364">
        <f>IF(ISNUMBER(G364),B364&lt;G364,FALSE)</f>
        <v/>
      </c>
      <c r="T364">
        <f>OR(O364,P364,Q364,R364,S364)</f>
        <v/>
      </c>
    </row>
    <row r="365">
      <c r="A365">
        <f>IF(Prices!A365="","",Prices!A365)</f>
        <v/>
      </c>
      <c r="B365">
        <f>IF(Prices!E365="","",Prices!E365)</f>
        <v/>
      </c>
      <c r="C365">
        <f>IF(Prices!C365="","",Prices!C365)</f>
        <v/>
      </c>
      <c r="D365">
        <f>IF(Prices!D365="","",Prices!D365)</f>
        <v/>
      </c>
      <c r="E365">
        <f>AVERAGE(B316:B365)</f>
        <v/>
      </c>
      <c r="F365">
        <f>AVERAGE(B166:B365)</f>
        <v/>
      </c>
      <c r="G365">
        <f>AVERAGE(B346:B365)-2*STDEV.P(B346:B365)</f>
        <v/>
      </c>
      <c r="H365">
        <f>MAX(B365-B364,0)</f>
        <v/>
      </c>
      <c r="I365">
        <f>MAX(B364-B365,0)</f>
        <v/>
      </c>
      <c r="J365">
        <f>(J364*13+H365)/14</f>
        <v/>
      </c>
      <c r="K365">
        <f>(K364*13+I365)/14</f>
        <v/>
      </c>
      <c r="L365">
        <f>IF(K365=0,100,100-100/(1+J365/K365))</f>
        <v/>
      </c>
      <c r="M365">
        <f>IF(MAX(C352:C365)=MIN(D352:D365),50,100*(B365-MIN(D352:D365))/(MAX(C352:C365)-MIN(D352:D365)))</f>
        <v/>
      </c>
      <c r="N365">
        <f>AVERAGE(M363:M365)</f>
        <v/>
      </c>
      <c r="O365">
        <f>IF(ISNUMBER(L365),L365&lt;30,FALSE)</f>
        <v/>
      </c>
      <c r="P365">
        <f>IF(ISNUMBER(N365),N365&lt;20,FALSE)</f>
        <v/>
      </c>
      <c r="Q365">
        <f>IF(AND(ISNUMBER(E345),ISNUMBER(E365)),AND(E365&gt;E345,B365&lt;=E365*1.01,B364&gt;E364*1.01),FALSE)</f>
        <v/>
      </c>
      <c r="R365">
        <f>IF(AND(ISNUMBER(F345),ISNUMBER(F365)),AND(F365&gt;F345,B365&lt;=F365*1.01,B364&gt;F364*1.01),FALSE)</f>
        <v/>
      </c>
      <c r="S365">
        <f>IF(ISNUMBER(G365),B365&lt;G365,FALSE)</f>
        <v/>
      </c>
      <c r="T365">
        <f>OR(O365,P365,Q365,R365,S365)</f>
        <v/>
      </c>
    </row>
    <row r="366">
      <c r="A366">
        <f>IF(Prices!A366="","",Prices!A366)</f>
        <v/>
      </c>
      <c r="B366">
        <f>IF(Prices!E366="","",Prices!E366)</f>
        <v/>
      </c>
      <c r="C366">
        <f>IF(Prices!C366="","",Prices!C366)</f>
        <v/>
      </c>
      <c r="D366">
        <f>IF(Prices!D366="","",Prices!D366)</f>
        <v/>
      </c>
      <c r="E366">
        <f>AVERAGE(B317:B366)</f>
        <v/>
      </c>
      <c r="F366">
        <f>AVERAGE(B167:B366)</f>
        <v/>
      </c>
      <c r="G366">
        <f>AVERAGE(B347:B366)-2*STDEV.P(B347:B366)</f>
        <v/>
      </c>
      <c r="H366">
        <f>MAX(B366-B365,0)</f>
        <v/>
      </c>
      <c r="I366">
        <f>MAX(B365-B366,0)</f>
        <v/>
      </c>
      <c r="J366">
        <f>(J365*13+H366)/14</f>
        <v/>
      </c>
      <c r="K366">
        <f>(K365*13+I366)/14</f>
        <v/>
      </c>
      <c r="L366">
        <f>IF(K366=0,100,100-100/(1+J366/K366))</f>
        <v/>
      </c>
      <c r="M366">
        <f>IF(MAX(C353:C366)=MIN(D353:D366),50,100*(B366-MIN(D353:D366))/(MAX(C353:C366)-MIN(D353:D366)))</f>
        <v/>
      </c>
      <c r="N366">
        <f>AVERAGE(M364:M366)</f>
        <v/>
      </c>
      <c r="O366">
        <f>IF(ISNUMBER(L366),L366&lt;30,FALSE)</f>
        <v/>
      </c>
      <c r="P366">
        <f>IF(ISNUMBER(N366),N366&lt;20,FALSE)</f>
        <v/>
      </c>
      <c r="Q366">
        <f>IF(AND(ISNUMBER(E346),ISNUMBER(E366)),AND(E366&gt;E346,B366&lt;=E366*1.01,B365&gt;E365*1.01),FALSE)</f>
        <v/>
      </c>
      <c r="R366">
        <f>IF(AND(ISNUMBER(F346),ISNUMBER(F366)),AND(F366&gt;F346,B366&lt;=F366*1.01,B365&gt;F365*1.01),FALSE)</f>
        <v/>
      </c>
      <c r="S366">
        <f>IF(ISNUMBER(G366),B366&lt;G366,FALSE)</f>
        <v/>
      </c>
      <c r="T366">
        <f>OR(O366,P366,Q366,R366,S366)</f>
        <v/>
      </c>
    </row>
    <row r="367">
      <c r="A367">
        <f>IF(Prices!A367="","",Prices!A367)</f>
        <v/>
      </c>
      <c r="B367">
        <f>IF(Prices!E367="","",Prices!E367)</f>
        <v/>
      </c>
      <c r="C367">
        <f>IF(Prices!C367="","",Prices!C367)</f>
        <v/>
      </c>
      <c r="D367">
        <f>IF(Prices!D367="","",Prices!D367)</f>
        <v/>
      </c>
      <c r="E367">
        <f>AVERAGE(B318:B367)</f>
        <v/>
      </c>
      <c r="F367">
        <f>AVERAGE(B168:B367)</f>
        <v/>
      </c>
      <c r="G367">
        <f>AVERAGE(B348:B367)-2*STDEV.P(B348:B367)</f>
        <v/>
      </c>
      <c r="H367">
        <f>MAX(B367-B366,0)</f>
        <v/>
      </c>
      <c r="I367">
        <f>MAX(B366-B367,0)</f>
        <v/>
      </c>
      <c r="J367">
        <f>(J366*13+H367)/14</f>
        <v/>
      </c>
      <c r="K367">
        <f>(K366*13+I367)/14</f>
        <v/>
      </c>
      <c r="L367">
        <f>IF(K367=0,100,100-100/(1+J367/K367))</f>
        <v/>
      </c>
      <c r="M367">
        <f>IF(MAX(C354:C367)=MIN(D354:D367),50,100*(B367-MIN(D354:D367))/(MAX(C354:C367)-MIN(D354:D367)))</f>
        <v/>
      </c>
      <c r="N367">
        <f>AVERAGE(M365:M367)</f>
        <v/>
      </c>
      <c r="O367">
        <f>IF(ISNUMBER(L367),L367&lt;30,FALSE)</f>
        <v/>
      </c>
      <c r="P367">
        <f>IF(ISNUMBER(N367),N367&lt;20,FALSE)</f>
        <v/>
      </c>
      <c r="Q367">
        <f>IF(AND(ISNUMBER(E347),ISNUMBER(E367)),AND(E367&gt;E347,B367&lt;=E367*1.01,B366&gt;E366*1.01),FALSE)</f>
        <v/>
      </c>
      <c r="R367">
        <f>IF(AND(ISNUMBER(F347),ISNUMBER(F367)),AND(F367&gt;F347,B367&lt;=F367*1.01,B366&gt;F366*1.01),FALSE)</f>
        <v/>
      </c>
      <c r="S367">
        <f>IF(ISNUMBER(G367),B367&lt;G367,FALSE)</f>
        <v/>
      </c>
      <c r="T367">
        <f>OR(O367,P367,Q367,R367,S367)</f>
        <v/>
      </c>
    </row>
    <row r="368">
      <c r="A368">
        <f>IF(Prices!A368="","",Prices!A368)</f>
        <v/>
      </c>
      <c r="B368">
        <f>IF(Prices!E368="","",Prices!E368)</f>
        <v/>
      </c>
      <c r="C368">
        <f>IF(Prices!C368="","",Prices!C368)</f>
        <v/>
      </c>
      <c r="D368">
        <f>IF(Prices!D368="","",Prices!D368)</f>
        <v/>
      </c>
      <c r="E368">
        <f>AVERAGE(B319:B368)</f>
        <v/>
      </c>
      <c r="F368">
        <f>AVERAGE(B169:B368)</f>
        <v/>
      </c>
      <c r="G368">
        <f>AVERAGE(B349:B368)-2*STDEV.P(B349:B368)</f>
        <v/>
      </c>
      <c r="H368">
        <f>MAX(B368-B367,0)</f>
        <v/>
      </c>
      <c r="I368">
        <f>MAX(B367-B368,0)</f>
        <v/>
      </c>
      <c r="J368">
        <f>(J367*13+H368)/14</f>
        <v/>
      </c>
      <c r="K368">
        <f>(K367*13+I368)/14</f>
        <v/>
      </c>
      <c r="L368">
        <f>IF(K368=0,100,100-100/(1+J368/K368))</f>
        <v/>
      </c>
      <c r="M368">
        <f>IF(MAX(C355:C368)=MIN(D355:D368),50,100*(B368-MIN(D355:D368))/(MAX(C355:C368)-MIN(D355:D368)))</f>
        <v/>
      </c>
      <c r="N368">
        <f>AVERAGE(M366:M368)</f>
        <v/>
      </c>
      <c r="O368">
        <f>IF(ISNUMBER(L368),L368&lt;30,FALSE)</f>
        <v/>
      </c>
      <c r="P368">
        <f>IF(ISNUMBER(N368),N368&lt;20,FALSE)</f>
        <v/>
      </c>
      <c r="Q368">
        <f>IF(AND(ISNUMBER(E348),ISNUMBER(E368)),AND(E368&gt;E348,B368&lt;=E368*1.01,B367&gt;E367*1.01),FALSE)</f>
        <v/>
      </c>
      <c r="R368">
        <f>IF(AND(ISNUMBER(F348),ISNUMBER(F368)),AND(F368&gt;F348,B368&lt;=F368*1.01,B367&gt;F367*1.01),FALSE)</f>
        <v/>
      </c>
      <c r="S368">
        <f>IF(ISNUMBER(G368),B368&lt;G368,FALSE)</f>
        <v/>
      </c>
      <c r="T368">
        <f>OR(O368,P368,Q368,R368,S368)</f>
        <v/>
      </c>
    </row>
    <row r="369">
      <c r="A369">
        <f>IF(Prices!A369="","",Prices!A369)</f>
        <v/>
      </c>
      <c r="B369">
        <f>IF(Prices!E369="","",Prices!E369)</f>
        <v/>
      </c>
      <c r="C369">
        <f>IF(Prices!C369="","",Prices!C369)</f>
        <v/>
      </c>
      <c r="D369">
        <f>IF(Prices!D369="","",Prices!D369)</f>
        <v/>
      </c>
      <c r="E369">
        <f>AVERAGE(B320:B369)</f>
        <v/>
      </c>
      <c r="F369">
        <f>AVERAGE(B170:B369)</f>
        <v/>
      </c>
      <c r="G369">
        <f>AVERAGE(B350:B369)-2*STDEV.P(B350:B369)</f>
        <v/>
      </c>
      <c r="H369">
        <f>MAX(B369-B368,0)</f>
        <v/>
      </c>
      <c r="I369">
        <f>MAX(B368-B369,0)</f>
        <v/>
      </c>
      <c r="J369">
        <f>(J368*13+H369)/14</f>
        <v/>
      </c>
      <c r="K369">
        <f>(K368*13+I369)/14</f>
        <v/>
      </c>
      <c r="L369">
        <f>IF(K369=0,100,100-100/(1+J369/K369))</f>
        <v/>
      </c>
      <c r="M369">
        <f>IF(MAX(C356:C369)=MIN(D356:D369),50,100*(B369-MIN(D356:D369))/(MAX(C356:C369)-MIN(D356:D369)))</f>
        <v/>
      </c>
      <c r="N369">
        <f>AVERAGE(M367:M369)</f>
        <v/>
      </c>
      <c r="O369">
        <f>IF(ISNUMBER(L369),L369&lt;30,FALSE)</f>
        <v/>
      </c>
      <c r="P369">
        <f>IF(ISNUMBER(N369),N369&lt;20,FALSE)</f>
        <v/>
      </c>
      <c r="Q369">
        <f>IF(AND(ISNUMBER(E349),ISNUMBER(E369)),AND(E369&gt;E349,B369&lt;=E369*1.01,B368&gt;E368*1.01),FALSE)</f>
        <v/>
      </c>
      <c r="R369">
        <f>IF(AND(ISNUMBER(F349),ISNUMBER(F369)),AND(F369&gt;F349,B369&lt;=F369*1.01,B368&gt;F368*1.01),FALSE)</f>
        <v/>
      </c>
      <c r="S369">
        <f>IF(ISNUMBER(G369),B369&lt;G369,FALSE)</f>
        <v/>
      </c>
      <c r="T369">
        <f>OR(O369,P369,Q369,R369,S369)</f>
        <v/>
      </c>
    </row>
    <row r="370">
      <c r="A370">
        <f>IF(Prices!A370="","",Prices!A370)</f>
        <v/>
      </c>
      <c r="B370">
        <f>IF(Prices!E370="","",Prices!E370)</f>
        <v/>
      </c>
      <c r="C370">
        <f>IF(Prices!C370="","",Prices!C370)</f>
        <v/>
      </c>
      <c r="D370">
        <f>IF(Prices!D370="","",Prices!D370)</f>
        <v/>
      </c>
      <c r="E370">
        <f>AVERAGE(B321:B370)</f>
        <v/>
      </c>
      <c r="F370">
        <f>AVERAGE(B171:B370)</f>
        <v/>
      </c>
      <c r="G370">
        <f>AVERAGE(B351:B370)-2*STDEV.P(B351:B370)</f>
        <v/>
      </c>
      <c r="H370">
        <f>MAX(B370-B369,0)</f>
        <v/>
      </c>
      <c r="I370">
        <f>MAX(B369-B370,0)</f>
        <v/>
      </c>
      <c r="J370">
        <f>(J369*13+H370)/14</f>
        <v/>
      </c>
      <c r="K370">
        <f>(K369*13+I370)/14</f>
        <v/>
      </c>
      <c r="L370">
        <f>IF(K370=0,100,100-100/(1+J370/K370))</f>
        <v/>
      </c>
      <c r="M370">
        <f>IF(MAX(C357:C370)=MIN(D357:D370),50,100*(B370-MIN(D357:D370))/(MAX(C357:C370)-MIN(D357:D370)))</f>
        <v/>
      </c>
      <c r="N370">
        <f>AVERAGE(M368:M370)</f>
        <v/>
      </c>
      <c r="O370">
        <f>IF(ISNUMBER(L370),L370&lt;30,FALSE)</f>
        <v/>
      </c>
      <c r="P370">
        <f>IF(ISNUMBER(N370),N370&lt;20,FALSE)</f>
        <v/>
      </c>
      <c r="Q370">
        <f>IF(AND(ISNUMBER(E350),ISNUMBER(E370)),AND(E370&gt;E350,B370&lt;=E370*1.01,B369&gt;E369*1.01),FALSE)</f>
        <v/>
      </c>
      <c r="R370">
        <f>IF(AND(ISNUMBER(F350),ISNUMBER(F370)),AND(F370&gt;F350,B370&lt;=F370*1.01,B369&gt;F369*1.01),FALSE)</f>
        <v/>
      </c>
      <c r="S370">
        <f>IF(ISNUMBER(G370),B370&lt;G370,FALSE)</f>
        <v/>
      </c>
      <c r="T370">
        <f>OR(O370,P370,Q370,R370,S370)</f>
        <v/>
      </c>
    </row>
    <row r="371">
      <c r="A371">
        <f>IF(Prices!A371="","",Prices!A371)</f>
        <v/>
      </c>
      <c r="B371">
        <f>IF(Prices!E371="","",Prices!E371)</f>
        <v/>
      </c>
      <c r="C371">
        <f>IF(Prices!C371="","",Prices!C371)</f>
        <v/>
      </c>
      <c r="D371">
        <f>IF(Prices!D371="","",Prices!D371)</f>
        <v/>
      </c>
      <c r="E371">
        <f>AVERAGE(B322:B371)</f>
        <v/>
      </c>
      <c r="F371">
        <f>AVERAGE(B172:B371)</f>
        <v/>
      </c>
      <c r="G371">
        <f>AVERAGE(B352:B371)-2*STDEV.P(B352:B371)</f>
        <v/>
      </c>
      <c r="H371">
        <f>MAX(B371-B370,0)</f>
        <v/>
      </c>
      <c r="I371">
        <f>MAX(B370-B371,0)</f>
        <v/>
      </c>
      <c r="J371">
        <f>(J370*13+H371)/14</f>
        <v/>
      </c>
      <c r="K371">
        <f>(K370*13+I371)/14</f>
        <v/>
      </c>
      <c r="L371">
        <f>IF(K371=0,100,100-100/(1+J371/K371))</f>
        <v/>
      </c>
      <c r="M371">
        <f>IF(MAX(C358:C371)=MIN(D358:D371),50,100*(B371-MIN(D358:D371))/(MAX(C358:C371)-MIN(D358:D371)))</f>
        <v/>
      </c>
      <c r="N371">
        <f>AVERAGE(M369:M371)</f>
        <v/>
      </c>
      <c r="O371">
        <f>IF(ISNUMBER(L371),L371&lt;30,FALSE)</f>
        <v/>
      </c>
      <c r="P371">
        <f>IF(ISNUMBER(N371),N371&lt;20,FALSE)</f>
        <v/>
      </c>
      <c r="Q371">
        <f>IF(AND(ISNUMBER(E351),ISNUMBER(E371)),AND(E371&gt;E351,B371&lt;=E371*1.01,B370&gt;E370*1.01),FALSE)</f>
        <v/>
      </c>
      <c r="R371">
        <f>IF(AND(ISNUMBER(F351),ISNUMBER(F371)),AND(F371&gt;F351,B371&lt;=F371*1.01,B370&gt;F370*1.01),FALSE)</f>
        <v/>
      </c>
      <c r="S371">
        <f>IF(ISNUMBER(G371),B371&lt;G371,FALSE)</f>
        <v/>
      </c>
      <c r="T371">
        <f>OR(O371,P371,Q371,R371,S371)</f>
        <v/>
      </c>
    </row>
    <row r="372">
      <c r="A372">
        <f>IF(Prices!A372="","",Prices!A372)</f>
        <v/>
      </c>
      <c r="B372">
        <f>IF(Prices!E372="","",Prices!E372)</f>
        <v/>
      </c>
      <c r="C372">
        <f>IF(Prices!C372="","",Prices!C372)</f>
        <v/>
      </c>
      <c r="D372">
        <f>IF(Prices!D372="","",Prices!D372)</f>
        <v/>
      </c>
      <c r="E372">
        <f>AVERAGE(B323:B372)</f>
        <v/>
      </c>
      <c r="F372">
        <f>AVERAGE(B173:B372)</f>
        <v/>
      </c>
      <c r="G372">
        <f>AVERAGE(B353:B372)-2*STDEV.P(B353:B372)</f>
        <v/>
      </c>
      <c r="H372">
        <f>MAX(B372-B371,0)</f>
        <v/>
      </c>
      <c r="I372">
        <f>MAX(B371-B372,0)</f>
        <v/>
      </c>
      <c r="J372">
        <f>(J371*13+H372)/14</f>
        <v/>
      </c>
      <c r="K372">
        <f>(K371*13+I372)/14</f>
        <v/>
      </c>
      <c r="L372">
        <f>IF(K372=0,100,100-100/(1+J372/K372))</f>
        <v/>
      </c>
      <c r="M372">
        <f>IF(MAX(C359:C372)=MIN(D359:D372),50,100*(B372-MIN(D359:D372))/(MAX(C359:C372)-MIN(D359:D372)))</f>
        <v/>
      </c>
      <c r="N372">
        <f>AVERAGE(M370:M372)</f>
        <v/>
      </c>
      <c r="O372">
        <f>IF(ISNUMBER(L372),L372&lt;30,FALSE)</f>
        <v/>
      </c>
      <c r="P372">
        <f>IF(ISNUMBER(N372),N372&lt;20,FALSE)</f>
        <v/>
      </c>
      <c r="Q372">
        <f>IF(AND(ISNUMBER(E352),ISNUMBER(E372)),AND(E372&gt;E352,B372&lt;=E372*1.01,B371&gt;E371*1.01),FALSE)</f>
        <v/>
      </c>
      <c r="R372">
        <f>IF(AND(ISNUMBER(F352),ISNUMBER(F372)),AND(F372&gt;F352,B372&lt;=F372*1.01,B371&gt;F371*1.01),FALSE)</f>
        <v/>
      </c>
      <c r="S372">
        <f>IF(ISNUMBER(G372),B372&lt;G372,FALSE)</f>
        <v/>
      </c>
      <c r="T372">
        <f>OR(O372,P372,Q372,R372,S372)</f>
        <v/>
      </c>
    </row>
    <row r="373">
      <c r="A373">
        <f>IF(Prices!A373="","",Prices!A373)</f>
        <v/>
      </c>
      <c r="B373">
        <f>IF(Prices!E373="","",Prices!E373)</f>
        <v/>
      </c>
      <c r="C373">
        <f>IF(Prices!C373="","",Prices!C373)</f>
        <v/>
      </c>
      <c r="D373">
        <f>IF(Prices!D373="","",Prices!D373)</f>
        <v/>
      </c>
      <c r="E373">
        <f>AVERAGE(B324:B373)</f>
        <v/>
      </c>
      <c r="F373">
        <f>AVERAGE(B174:B373)</f>
        <v/>
      </c>
      <c r="G373">
        <f>AVERAGE(B354:B373)-2*STDEV.P(B354:B373)</f>
        <v/>
      </c>
      <c r="H373">
        <f>MAX(B373-B372,0)</f>
        <v/>
      </c>
      <c r="I373">
        <f>MAX(B372-B373,0)</f>
        <v/>
      </c>
      <c r="J373">
        <f>(J372*13+H373)/14</f>
        <v/>
      </c>
      <c r="K373">
        <f>(K372*13+I373)/14</f>
        <v/>
      </c>
      <c r="L373">
        <f>IF(K373=0,100,100-100/(1+J373/K373))</f>
        <v/>
      </c>
      <c r="M373">
        <f>IF(MAX(C360:C373)=MIN(D360:D373),50,100*(B373-MIN(D360:D373))/(MAX(C360:C373)-MIN(D360:D373)))</f>
        <v/>
      </c>
      <c r="N373">
        <f>AVERAGE(M371:M373)</f>
        <v/>
      </c>
      <c r="O373">
        <f>IF(ISNUMBER(L373),L373&lt;30,FALSE)</f>
        <v/>
      </c>
      <c r="P373">
        <f>IF(ISNUMBER(N373),N373&lt;20,FALSE)</f>
        <v/>
      </c>
      <c r="Q373">
        <f>IF(AND(ISNUMBER(E353),ISNUMBER(E373)),AND(E373&gt;E353,B373&lt;=E373*1.01,B372&gt;E372*1.01),FALSE)</f>
        <v/>
      </c>
      <c r="R373">
        <f>IF(AND(ISNUMBER(F353),ISNUMBER(F373)),AND(F373&gt;F353,B373&lt;=F373*1.01,B372&gt;F372*1.01),FALSE)</f>
        <v/>
      </c>
      <c r="S373">
        <f>IF(ISNUMBER(G373),B373&lt;G373,FALSE)</f>
        <v/>
      </c>
      <c r="T373">
        <f>OR(O373,P373,Q373,R373,S373)</f>
        <v/>
      </c>
    </row>
    <row r="374">
      <c r="A374">
        <f>IF(Prices!A374="","",Prices!A374)</f>
        <v/>
      </c>
      <c r="B374">
        <f>IF(Prices!E374="","",Prices!E374)</f>
        <v/>
      </c>
      <c r="C374">
        <f>IF(Prices!C374="","",Prices!C374)</f>
        <v/>
      </c>
      <c r="D374">
        <f>IF(Prices!D374="","",Prices!D374)</f>
        <v/>
      </c>
      <c r="E374">
        <f>AVERAGE(B325:B374)</f>
        <v/>
      </c>
      <c r="F374">
        <f>AVERAGE(B175:B374)</f>
        <v/>
      </c>
      <c r="G374">
        <f>AVERAGE(B355:B374)-2*STDEV.P(B355:B374)</f>
        <v/>
      </c>
      <c r="H374">
        <f>MAX(B374-B373,0)</f>
        <v/>
      </c>
      <c r="I374">
        <f>MAX(B373-B374,0)</f>
        <v/>
      </c>
      <c r="J374">
        <f>(J373*13+H374)/14</f>
        <v/>
      </c>
      <c r="K374">
        <f>(K373*13+I374)/14</f>
        <v/>
      </c>
      <c r="L374">
        <f>IF(K374=0,100,100-100/(1+J374/K374))</f>
        <v/>
      </c>
      <c r="M374">
        <f>IF(MAX(C361:C374)=MIN(D361:D374),50,100*(B374-MIN(D361:D374))/(MAX(C361:C374)-MIN(D361:D374)))</f>
        <v/>
      </c>
      <c r="N374">
        <f>AVERAGE(M372:M374)</f>
        <v/>
      </c>
      <c r="O374">
        <f>IF(ISNUMBER(L374),L374&lt;30,FALSE)</f>
        <v/>
      </c>
      <c r="P374">
        <f>IF(ISNUMBER(N374),N374&lt;20,FALSE)</f>
        <v/>
      </c>
      <c r="Q374">
        <f>IF(AND(ISNUMBER(E354),ISNUMBER(E374)),AND(E374&gt;E354,B374&lt;=E374*1.01,B373&gt;E373*1.01),FALSE)</f>
        <v/>
      </c>
      <c r="R374">
        <f>IF(AND(ISNUMBER(F354),ISNUMBER(F374)),AND(F374&gt;F354,B374&lt;=F374*1.01,B373&gt;F373*1.01),FALSE)</f>
        <v/>
      </c>
      <c r="S374">
        <f>IF(ISNUMBER(G374),B374&lt;G374,FALSE)</f>
        <v/>
      </c>
      <c r="T374">
        <f>OR(O374,P374,Q374,R374,S374)</f>
        <v/>
      </c>
    </row>
    <row r="375">
      <c r="A375">
        <f>IF(Prices!A375="","",Prices!A375)</f>
        <v/>
      </c>
      <c r="B375">
        <f>IF(Prices!E375="","",Prices!E375)</f>
        <v/>
      </c>
      <c r="C375">
        <f>IF(Prices!C375="","",Prices!C375)</f>
        <v/>
      </c>
      <c r="D375">
        <f>IF(Prices!D375="","",Prices!D375)</f>
        <v/>
      </c>
      <c r="E375">
        <f>AVERAGE(B326:B375)</f>
        <v/>
      </c>
      <c r="F375">
        <f>AVERAGE(B176:B375)</f>
        <v/>
      </c>
      <c r="G375">
        <f>AVERAGE(B356:B375)-2*STDEV.P(B356:B375)</f>
        <v/>
      </c>
      <c r="H375">
        <f>MAX(B375-B374,0)</f>
        <v/>
      </c>
      <c r="I375">
        <f>MAX(B374-B375,0)</f>
        <v/>
      </c>
      <c r="J375">
        <f>(J374*13+H375)/14</f>
        <v/>
      </c>
      <c r="K375">
        <f>(K374*13+I375)/14</f>
        <v/>
      </c>
      <c r="L375">
        <f>IF(K375=0,100,100-100/(1+J375/K375))</f>
        <v/>
      </c>
      <c r="M375">
        <f>IF(MAX(C362:C375)=MIN(D362:D375),50,100*(B375-MIN(D362:D375))/(MAX(C362:C375)-MIN(D362:D375)))</f>
        <v/>
      </c>
      <c r="N375">
        <f>AVERAGE(M373:M375)</f>
        <v/>
      </c>
      <c r="O375">
        <f>IF(ISNUMBER(L375),L375&lt;30,FALSE)</f>
        <v/>
      </c>
      <c r="P375">
        <f>IF(ISNUMBER(N375),N375&lt;20,FALSE)</f>
        <v/>
      </c>
      <c r="Q375">
        <f>IF(AND(ISNUMBER(E355),ISNUMBER(E375)),AND(E375&gt;E355,B375&lt;=E375*1.01,B374&gt;E374*1.01),FALSE)</f>
        <v/>
      </c>
      <c r="R375">
        <f>IF(AND(ISNUMBER(F355),ISNUMBER(F375)),AND(F375&gt;F355,B375&lt;=F375*1.01,B374&gt;F374*1.01),FALSE)</f>
        <v/>
      </c>
      <c r="S375">
        <f>IF(ISNUMBER(G375),B375&lt;G375,FALSE)</f>
        <v/>
      </c>
      <c r="T375">
        <f>OR(O375,P375,Q375,R375,S375)</f>
        <v/>
      </c>
    </row>
    <row r="376">
      <c r="A376">
        <f>IF(Prices!A376="","",Prices!A376)</f>
        <v/>
      </c>
      <c r="B376">
        <f>IF(Prices!E376="","",Prices!E376)</f>
        <v/>
      </c>
      <c r="C376">
        <f>IF(Prices!C376="","",Prices!C376)</f>
        <v/>
      </c>
      <c r="D376">
        <f>IF(Prices!D376="","",Prices!D376)</f>
        <v/>
      </c>
      <c r="E376">
        <f>AVERAGE(B327:B376)</f>
        <v/>
      </c>
      <c r="F376">
        <f>AVERAGE(B177:B376)</f>
        <v/>
      </c>
      <c r="G376">
        <f>AVERAGE(B357:B376)-2*STDEV.P(B357:B376)</f>
        <v/>
      </c>
      <c r="H376">
        <f>MAX(B376-B375,0)</f>
        <v/>
      </c>
      <c r="I376">
        <f>MAX(B375-B376,0)</f>
        <v/>
      </c>
      <c r="J376">
        <f>(J375*13+H376)/14</f>
        <v/>
      </c>
      <c r="K376">
        <f>(K375*13+I376)/14</f>
        <v/>
      </c>
      <c r="L376">
        <f>IF(K376=0,100,100-100/(1+J376/K376))</f>
        <v/>
      </c>
      <c r="M376">
        <f>IF(MAX(C363:C376)=MIN(D363:D376),50,100*(B376-MIN(D363:D376))/(MAX(C363:C376)-MIN(D363:D376)))</f>
        <v/>
      </c>
      <c r="N376">
        <f>AVERAGE(M374:M376)</f>
        <v/>
      </c>
      <c r="O376">
        <f>IF(ISNUMBER(L376),L376&lt;30,FALSE)</f>
        <v/>
      </c>
      <c r="P376">
        <f>IF(ISNUMBER(N376),N376&lt;20,FALSE)</f>
        <v/>
      </c>
      <c r="Q376">
        <f>IF(AND(ISNUMBER(E356),ISNUMBER(E376)),AND(E376&gt;E356,B376&lt;=E376*1.01,B375&gt;E375*1.01),FALSE)</f>
        <v/>
      </c>
      <c r="R376">
        <f>IF(AND(ISNUMBER(F356),ISNUMBER(F376)),AND(F376&gt;F356,B376&lt;=F376*1.01,B375&gt;F375*1.01),FALSE)</f>
        <v/>
      </c>
      <c r="S376">
        <f>IF(ISNUMBER(G376),B376&lt;G376,FALSE)</f>
        <v/>
      </c>
      <c r="T376">
        <f>OR(O376,P376,Q376,R376,S376)</f>
        <v/>
      </c>
    </row>
    <row r="377">
      <c r="A377">
        <f>IF(Prices!A377="","",Prices!A377)</f>
        <v/>
      </c>
      <c r="B377">
        <f>IF(Prices!E377="","",Prices!E377)</f>
        <v/>
      </c>
      <c r="C377">
        <f>IF(Prices!C377="","",Prices!C377)</f>
        <v/>
      </c>
      <c r="D377">
        <f>IF(Prices!D377="","",Prices!D377)</f>
        <v/>
      </c>
      <c r="E377">
        <f>AVERAGE(B328:B377)</f>
        <v/>
      </c>
      <c r="F377">
        <f>AVERAGE(B178:B377)</f>
        <v/>
      </c>
      <c r="G377">
        <f>AVERAGE(B358:B377)-2*STDEV.P(B358:B377)</f>
        <v/>
      </c>
      <c r="H377">
        <f>MAX(B377-B376,0)</f>
        <v/>
      </c>
      <c r="I377">
        <f>MAX(B376-B377,0)</f>
        <v/>
      </c>
      <c r="J377">
        <f>(J376*13+H377)/14</f>
        <v/>
      </c>
      <c r="K377">
        <f>(K376*13+I377)/14</f>
        <v/>
      </c>
      <c r="L377">
        <f>IF(K377=0,100,100-100/(1+J377/K377))</f>
        <v/>
      </c>
      <c r="M377">
        <f>IF(MAX(C364:C377)=MIN(D364:D377),50,100*(B377-MIN(D364:D377))/(MAX(C364:C377)-MIN(D364:D377)))</f>
        <v/>
      </c>
      <c r="N377">
        <f>AVERAGE(M375:M377)</f>
        <v/>
      </c>
      <c r="O377">
        <f>IF(ISNUMBER(L377),L377&lt;30,FALSE)</f>
        <v/>
      </c>
      <c r="P377">
        <f>IF(ISNUMBER(N377),N377&lt;20,FALSE)</f>
        <v/>
      </c>
      <c r="Q377">
        <f>IF(AND(ISNUMBER(E357),ISNUMBER(E377)),AND(E377&gt;E357,B377&lt;=E377*1.01,B376&gt;E376*1.01),FALSE)</f>
        <v/>
      </c>
      <c r="R377">
        <f>IF(AND(ISNUMBER(F357),ISNUMBER(F377)),AND(F377&gt;F357,B377&lt;=F377*1.01,B376&gt;F376*1.01),FALSE)</f>
        <v/>
      </c>
      <c r="S377">
        <f>IF(ISNUMBER(G377),B377&lt;G377,FALSE)</f>
        <v/>
      </c>
      <c r="T377">
        <f>OR(O377,P377,Q377,R377,S377)</f>
        <v/>
      </c>
    </row>
    <row r="378">
      <c r="A378">
        <f>IF(Prices!A378="","",Prices!A378)</f>
        <v/>
      </c>
      <c r="B378">
        <f>IF(Prices!E378="","",Prices!E378)</f>
        <v/>
      </c>
      <c r="C378">
        <f>IF(Prices!C378="","",Prices!C378)</f>
        <v/>
      </c>
      <c r="D378">
        <f>IF(Prices!D378="","",Prices!D378)</f>
        <v/>
      </c>
      <c r="E378">
        <f>AVERAGE(B329:B378)</f>
        <v/>
      </c>
      <c r="F378">
        <f>AVERAGE(B179:B378)</f>
        <v/>
      </c>
      <c r="G378">
        <f>AVERAGE(B359:B378)-2*STDEV.P(B359:B378)</f>
        <v/>
      </c>
      <c r="H378">
        <f>MAX(B378-B377,0)</f>
        <v/>
      </c>
      <c r="I378">
        <f>MAX(B377-B378,0)</f>
        <v/>
      </c>
      <c r="J378">
        <f>(J377*13+H378)/14</f>
        <v/>
      </c>
      <c r="K378">
        <f>(K377*13+I378)/14</f>
        <v/>
      </c>
      <c r="L378">
        <f>IF(K378=0,100,100-100/(1+J378/K378))</f>
        <v/>
      </c>
      <c r="M378">
        <f>IF(MAX(C365:C378)=MIN(D365:D378),50,100*(B378-MIN(D365:D378))/(MAX(C365:C378)-MIN(D365:D378)))</f>
        <v/>
      </c>
      <c r="N378">
        <f>AVERAGE(M376:M378)</f>
        <v/>
      </c>
      <c r="O378">
        <f>IF(ISNUMBER(L378),L378&lt;30,FALSE)</f>
        <v/>
      </c>
      <c r="P378">
        <f>IF(ISNUMBER(N378),N378&lt;20,FALSE)</f>
        <v/>
      </c>
      <c r="Q378">
        <f>IF(AND(ISNUMBER(E358),ISNUMBER(E378)),AND(E378&gt;E358,B378&lt;=E378*1.01,B377&gt;E377*1.01),FALSE)</f>
        <v/>
      </c>
      <c r="R378">
        <f>IF(AND(ISNUMBER(F358),ISNUMBER(F378)),AND(F378&gt;F358,B378&lt;=F378*1.01,B377&gt;F377*1.01),FALSE)</f>
        <v/>
      </c>
      <c r="S378">
        <f>IF(ISNUMBER(G378),B378&lt;G378,FALSE)</f>
        <v/>
      </c>
      <c r="T378">
        <f>OR(O378,P378,Q378,R378,S378)</f>
        <v/>
      </c>
    </row>
    <row r="379">
      <c r="A379">
        <f>IF(Prices!A379="","",Prices!A379)</f>
        <v/>
      </c>
      <c r="B379">
        <f>IF(Prices!E379="","",Prices!E379)</f>
        <v/>
      </c>
      <c r="C379">
        <f>IF(Prices!C379="","",Prices!C379)</f>
        <v/>
      </c>
      <c r="D379">
        <f>IF(Prices!D379="","",Prices!D379)</f>
        <v/>
      </c>
      <c r="E379">
        <f>AVERAGE(B330:B379)</f>
        <v/>
      </c>
      <c r="F379">
        <f>AVERAGE(B180:B379)</f>
        <v/>
      </c>
      <c r="G379">
        <f>AVERAGE(B360:B379)-2*STDEV.P(B360:B379)</f>
        <v/>
      </c>
      <c r="H379">
        <f>MAX(B379-B378,0)</f>
        <v/>
      </c>
      <c r="I379">
        <f>MAX(B378-B379,0)</f>
        <v/>
      </c>
      <c r="J379">
        <f>(J378*13+H379)/14</f>
        <v/>
      </c>
      <c r="K379">
        <f>(K378*13+I379)/14</f>
        <v/>
      </c>
      <c r="L379">
        <f>IF(K379=0,100,100-100/(1+J379/K379))</f>
        <v/>
      </c>
      <c r="M379">
        <f>IF(MAX(C366:C379)=MIN(D366:D379),50,100*(B379-MIN(D366:D379))/(MAX(C366:C379)-MIN(D366:D379)))</f>
        <v/>
      </c>
      <c r="N379">
        <f>AVERAGE(M377:M379)</f>
        <v/>
      </c>
      <c r="O379">
        <f>IF(ISNUMBER(L379),L379&lt;30,FALSE)</f>
        <v/>
      </c>
      <c r="P379">
        <f>IF(ISNUMBER(N379),N379&lt;20,FALSE)</f>
        <v/>
      </c>
      <c r="Q379">
        <f>IF(AND(ISNUMBER(E359),ISNUMBER(E379)),AND(E379&gt;E359,B379&lt;=E379*1.01,B378&gt;E378*1.01),FALSE)</f>
        <v/>
      </c>
      <c r="R379">
        <f>IF(AND(ISNUMBER(F359),ISNUMBER(F379)),AND(F379&gt;F359,B379&lt;=F379*1.01,B378&gt;F378*1.01),FALSE)</f>
        <v/>
      </c>
      <c r="S379">
        <f>IF(ISNUMBER(G379),B379&lt;G379,FALSE)</f>
        <v/>
      </c>
      <c r="T379">
        <f>OR(O379,P379,Q379,R379,S379)</f>
        <v/>
      </c>
    </row>
    <row r="380">
      <c r="A380">
        <f>IF(Prices!A380="","",Prices!A380)</f>
        <v/>
      </c>
      <c r="B380">
        <f>IF(Prices!E380="","",Prices!E380)</f>
        <v/>
      </c>
      <c r="C380">
        <f>IF(Prices!C380="","",Prices!C380)</f>
        <v/>
      </c>
      <c r="D380">
        <f>IF(Prices!D380="","",Prices!D380)</f>
        <v/>
      </c>
      <c r="E380">
        <f>AVERAGE(B331:B380)</f>
        <v/>
      </c>
      <c r="F380">
        <f>AVERAGE(B181:B380)</f>
        <v/>
      </c>
      <c r="G380">
        <f>AVERAGE(B361:B380)-2*STDEV.P(B361:B380)</f>
        <v/>
      </c>
      <c r="H380">
        <f>MAX(B380-B379,0)</f>
        <v/>
      </c>
      <c r="I380">
        <f>MAX(B379-B380,0)</f>
        <v/>
      </c>
      <c r="J380">
        <f>(J379*13+H380)/14</f>
        <v/>
      </c>
      <c r="K380">
        <f>(K379*13+I380)/14</f>
        <v/>
      </c>
      <c r="L380">
        <f>IF(K380=0,100,100-100/(1+J380/K380))</f>
        <v/>
      </c>
      <c r="M380">
        <f>IF(MAX(C367:C380)=MIN(D367:D380),50,100*(B380-MIN(D367:D380))/(MAX(C367:C380)-MIN(D367:D380)))</f>
        <v/>
      </c>
      <c r="N380">
        <f>AVERAGE(M378:M380)</f>
        <v/>
      </c>
      <c r="O380">
        <f>IF(ISNUMBER(L380),L380&lt;30,FALSE)</f>
        <v/>
      </c>
      <c r="P380">
        <f>IF(ISNUMBER(N380),N380&lt;20,FALSE)</f>
        <v/>
      </c>
      <c r="Q380">
        <f>IF(AND(ISNUMBER(E360),ISNUMBER(E380)),AND(E380&gt;E360,B380&lt;=E380*1.01,B379&gt;E379*1.01),FALSE)</f>
        <v/>
      </c>
      <c r="R380">
        <f>IF(AND(ISNUMBER(F360),ISNUMBER(F380)),AND(F380&gt;F360,B380&lt;=F380*1.01,B379&gt;F379*1.01),FALSE)</f>
        <v/>
      </c>
      <c r="S380">
        <f>IF(ISNUMBER(G380),B380&lt;G380,FALSE)</f>
        <v/>
      </c>
      <c r="T380">
        <f>OR(O380,P380,Q380,R380,S380)</f>
        <v/>
      </c>
    </row>
    <row r="381">
      <c r="A381">
        <f>IF(Prices!A381="","",Prices!A381)</f>
        <v/>
      </c>
      <c r="B381">
        <f>IF(Prices!E381="","",Prices!E381)</f>
        <v/>
      </c>
      <c r="C381">
        <f>IF(Prices!C381="","",Prices!C381)</f>
        <v/>
      </c>
      <c r="D381">
        <f>IF(Prices!D381="","",Prices!D381)</f>
        <v/>
      </c>
      <c r="E381">
        <f>AVERAGE(B332:B381)</f>
        <v/>
      </c>
      <c r="F381">
        <f>AVERAGE(B182:B381)</f>
        <v/>
      </c>
      <c r="G381">
        <f>AVERAGE(B362:B381)-2*STDEV.P(B362:B381)</f>
        <v/>
      </c>
      <c r="H381">
        <f>MAX(B381-B380,0)</f>
        <v/>
      </c>
      <c r="I381">
        <f>MAX(B380-B381,0)</f>
        <v/>
      </c>
      <c r="J381">
        <f>(J380*13+H381)/14</f>
        <v/>
      </c>
      <c r="K381">
        <f>(K380*13+I381)/14</f>
        <v/>
      </c>
      <c r="L381">
        <f>IF(K381=0,100,100-100/(1+J381/K381))</f>
        <v/>
      </c>
      <c r="M381">
        <f>IF(MAX(C368:C381)=MIN(D368:D381),50,100*(B381-MIN(D368:D381))/(MAX(C368:C381)-MIN(D368:D381)))</f>
        <v/>
      </c>
      <c r="N381">
        <f>AVERAGE(M379:M381)</f>
        <v/>
      </c>
      <c r="O381">
        <f>IF(ISNUMBER(L381),L381&lt;30,FALSE)</f>
        <v/>
      </c>
      <c r="P381">
        <f>IF(ISNUMBER(N381),N381&lt;20,FALSE)</f>
        <v/>
      </c>
      <c r="Q381">
        <f>IF(AND(ISNUMBER(E361),ISNUMBER(E381)),AND(E381&gt;E361,B381&lt;=E381*1.01,B380&gt;E380*1.01),FALSE)</f>
        <v/>
      </c>
      <c r="R381">
        <f>IF(AND(ISNUMBER(F361),ISNUMBER(F381)),AND(F381&gt;F361,B381&lt;=F381*1.01,B380&gt;F380*1.01),FALSE)</f>
        <v/>
      </c>
      <c r="S381">
        <f>IF(ISNUMBER(G381),B381&lt;G381,FALSE)</f>
        <v/>
      </c>
      <c r="T381">
        <f>OR(O381,P381,Q381,R381,S381)</f>
        <v/>
      </c>
    </row>
    <row r="382">
      <c r="A382">
        <f>IF(Prices!A382="","",Prices!A382)</f>
        <v/>
      </c>
      <c r="B382">
        <f>IF(Prices!E382="","",Prices!E382)</f>
        <v/>
      </c>
      <c r="C382">
        <f>IF(Prices!C382="","",Prices!C382)</f>
        <v/>
      </c>
      <c r="D382">
        <f>IF(Prices!D382="","",Prices!D382)</f>
        <v/>
      </c>
      <c r="E382">
        <f>AVERAGE(B333:B382)</f>
        <v/>
      </c>
      <c r="F382">
        <f>AVERAGE(B183:B382)</f>
        <v/>
      </c>
      <c r="G382">
        <f>AVERAGE(B363:B382)-2*STDEV.P(B363:B382)</f>
        <v/>
      </c>
      <c r="H382">
        <f>MAX(B382-B381,0)</f>
        <v/>
      </c>
      <c r="I382">
        <f>MAX(B381-B382,0)</f>
        <v/>
      </c>
      <c r="J382">
        <f>(J381*13+H382)/14</f>
        <v/>
      </c>
      <c r="K382">
        <f>(K381*13+I382)/14</f>
        <v/>
      </c>
      <c r="L382">
        <f>IF(K382=0,100,100-100/(1+J382/K382))</f>
        <v/>
      </c>
      <c r="M382">
        <f>IF(MAX(C369:C382)=MIN(D369:D382),50,100*(B382-MIN(D369:D382))/(MAX(C369:C382)-MIN(D369:D382)))</f>
        <v/>
      </c>
      <c r="N382">
        <f>AVERAGE(M380:M382)</f>
        <v/>
      </c>
      <c r="O382">
        <f>IF(ISNUMBER(L382),L382&lt;30,FALSE)</f>
        <v/>
      </c>
      <c r="P382">
        <f>IF(ISNUMBER(N382),N382&lt;20,FALSE)</f>
        <v/>
      </c>
      <c r="Q382">
        <f>IF(AND(ISNUMBER(E362),ISNUMBER(E382)),AND(E382&gt;E362,B382&lt;=E382*1.01,B381&gt;E381*1.01),FALSE)</f>
        <v/>
      </c>
      <c r="R382">
        <f>IF(AND(ISNUMBER(F362),ISNUMBER(F382)),AND(F382&gt;F362,B382&lt;=F382*1.01,B381&gt;F381*1.01),FALSE)</f>
        <v/>
      </c>
      <c r="S382">
        <f>IF(ISNUMBER(G382),B382&lt;G382,FALSE)</f>
        <v/>
      </c>
      <c r="T382">
        <f>OR(O382,P382,Q382,R382,S382)</f>
        <v/>
      </c>
    </row>
    <row r="383">
      <c r="A383">
        <f>IF(Prices!A383="","",Prices!A383)</f>
        <v/>
      </c>
      <c r="B383">
        <f>IF(Prices!E383="","",Prices!E383)</f>
        <v/>
      </c>
      <c r="C383">
        <f>IF(Prices!C383="","",Prices!C383)</f>
        <v/>
      </c>
      <c r="D383">
        <f>IF(Prices!D383="","",Prices!D383)</f>
        <v/>
      </c>
      <c r="E383">
        <f>AVERAGE(B334:B383)</f>
        <v/>
      </c>
      <c r="F383">
        <f>AVERAGE(B184:B383)</f>
        <v/>
      </c>
      <c r="G383">
        <f>AVERAGE(B364:B383)-2*STDEV.P(B364:B383)</f>
        <v/>
      </c>
      <c r="H383">
        <f>MAX(B383-B382,0)</f>
        <v/>
      </c>
      <c r="I383">
        <f>MAX(B382-B383,0)</f>
        <v/>
      </c>
      <c r="J383">
        <f>(J382*13+H383)/14</f>
        <v/>
      </c>
      <c r="K383">
        <f>(K382*13+I383)/14</f>
        <v/>
      </c>
      <c r="L383">
        <f>IF(K383=0,100,100-100/(1+J383/K383))</f>
        <v/>
      </c>
      <c r="M383">
        <f>IF(MAX(C370:C383)=MIN(D370:D383),50,100*(B383-MIN(D370:D383))/(MAX(C370:C383)-MIN(D370:D383)))</f>
        <v/>
      </c>
      <c r="N383">
        <f>AVERAGE(M381:M383)</f>
        <v/>
      </c>
      <c r="O383">
        <f>IF(ISNUMBER(L383),L383&lt;30,FALSE)</f>
        <v/>
      </c>
      <c r="P383">
        <f>IF(ISNUMBER(N383),N383&lt;20,FALSE)</f>
        <v/>
      </c>
      <c r="Q383">
        <f>IF(AND(ISNUMBER(E363),ISNUMBER(E383)),AND(E383&gt;E363,B383&lt;=E383*1.01,B382&gt;E382*1.01),FALSE)</f>
        <v/>
      </c>
      <c r="R383">
        <f>IF(AND(ISNUMBER(F363),ISNUMBER(F383)),AND(F383&gt;F363,B383&lt;=F383*1.01,B382&gt;F382*1.01),FALSE)</f>
        <v/>
      </c>
      <c r="S383">
        <f>IF(ISNUMBER(G383),B383&lt;G383,FALSE)</f>
        <v/>
      </c>
      <c r="T383">
        <f>OR(O383,P383,Q383,R383,S383)</f>
        <v/>
      </c>
    </row>
    <row r="384">
      <c r="A384">
        <f>IF(Prices!A384="","",Prices!A384)</f>
        <v/>
      </c>
      <c r="B384">
        <f>IF(Prices!E384="","",Prices!E384)</f>
        <v/>
      </c>
      <c r="C384">
        <f>IF(Prices!C384="","",Prices!C384)</f>
        <v/>
      </c>
      <c r="D384">
        <f>IF(Prices!D384="","",Prices!D384)</f>
        <v/>
      </c>
      <c r="E384">
        <f>AVERAGE(B335:B384)</f>
        <v/>
      </c>
      <c r="F384">
        <f>AVERAGE(B185:B384)</f>
        <v/>
      </c>
      <c r="G384">
        <f>AVERAGE(B365:B384)-2*STDEV.P(B365:B384)</f>
        <v/>
      </c>
      <c r="H384">
        <f>MAX(B384-B383,0)</f>
        <v/>
      </c>
      <c r="I384">
        <f>MAX(B383-B384,0)</f>
        <v/>
      </c>
      <c r="J384">
        <f>(J383*13+H384)/14</f>
        <v/>
      </c>
      <c r="K384">
        <f>(K383*13+I384)/14</f>
        <v/>
      </c>
      <c r="L384">
        <f>IF(K384=0,100,100-100/(1+J384/K384))</f>
        <v/>
      </c>
      <c r="M384">
        <f>IF(MAX(C371:C384)=MIN(D371:D384),50,100*(B384-MIN(D371:D384))/(MAX(C371:C384)-MIN(D371:D384)))</f>
        <v/>
      </c>
      <c r="N384">
        <f>AVERAGE(M382:M384)</f>
        <v/>
      </c>
      <c r="O384">
        <f>IF(ISNUMBER(L384),L384&lt;30,FALSE)</f>
        <v/>
      </c>
      <c r="P384">
        <f>IF(ISNUMBER(N384),N384&lt;20,FALSE)</f>
        <v/>
      </c>
      <c r="Q384">
        <f>IF(AND(ISNUMBER(E364),ISNUMBER(E384)),AND(E384&gt;E364,B384&lt;=E384*1.01,B383&gt;E383*1.01),FALSE)</f>
        <v/>
      </c>
      <c r="R384">
        <f>IF(AND(ISNUMBER(F364),ISNUMBER(F384)),AND(F384&gt;F364,B384&lt;=F384*1.01,B383&gt;F383*1.01),FALSE)</f>
        <v/>
      </c>
      <c r="S384">
        <f>IF(ISNUMBER(G384),B384&lt;G384,FALSE)</f>
        <v/>
      </c>
      <c r="T384">
        <f>OR(O384,P384,Q384,R384,S384)</f>
        <v/>
      </c>
    </row>
    <row r="385">
      <c r="A385">
        <f>IF(Prices!A385="","",Prices!A385)</f>
        <v/>
      </c>
      <c r="B385">
        <f>IF(Prices!E385="","",Prices!E385)</f>
        <v/>
      </c>
      <c r="C385">
        <f>IF(Prices!C385="","",Prices!C385)</f>
        <v/>
      </c>
      <c r="D385">
        <f>IF(Prices!D385="","",Prices!D385)</f>
        <v/>
      </c>
      <c r="E385">
        <f>AVERAGE(B336:B385)</f>
        <v/>
      </c>
      <c r="F385">
        <f>AVERAGE(B186:B385)</f>
        <v/>
      </c>
      <c r="G385">
        <f>AVERAGE(B366:B385)-2*STDEV.P(B366:B385)</f>
        <v/>
      </c>
      <c r="H385">
        <f>MAX(B385-B384,0)</f>
        <v/>
      </c>
      <c r="I385">
        <f>MAX(B384-B385,0)</f>
        <v/>
      </c>
      <c r="J385">
        <f>(J384*13+H385)/14</f>
        <v/>
      </c>
      <c r="K385">
        <f>(K384*13+I385)/14</f>
        <v/>
      </c>
      <c r="L385">
        <f>IF(K385=0,100,100-100/(1+J385/K385))</f>
        <v/>
      </c>
      <c r="M385">
        <f>IF(MAX(C372:C385)=MIN(D372:D385),50,100*(B385-MIN(D372:D385))/(MAX(C372:C385)-MIN(D372:D385)))</f>
        <v/>
      </c>
      <c r="N385">
        <f>AVERAGE(M383:M385)</f>
        <v/>
      </c>
      <c r="O385">
        <f>IF(ISNUMBER(L385),L385&lt;30,FALSE)</f>
        <v/>
      </c>
      <c r="P385">
        <f>IF(ISNUMBER(N385),N385&lt;20,FALSE)</f>
        <v/>
      </c>
      <c r="Q385">
        <f>IF(AND(ISNUMBER(E365),ISNUMBER(E385)),AND(E385&gt;E365,B385&lt;=E385*1.01,B384&gt;E384*1.01),FALSE)</f>
        <v/>
      </c>
      <c r="R385">
        <f>IF(AND(ISNUMBER(F365),ISNUMBER(F385)),AND(F385&gt;F365,B385&lt;=F385*1.01,B384&gt;F384*1.01),FALSE)</f>
        <v/>
      </c>
      <c r="S385">
        <f>IF(ISNUMBER(G385),B385&lt;G385,FALSE)</f>
        <v/>
      </c>
      <c r="T385">
        <f>OR(O385,P385,Q385,R385,S385)</f>
        <v/>
      </c>
    </row>
    <row r="386">
      <c r="A386">
        <f>IF(Prices!A386="","",Prices!A386)</f>
        <v/>
      </c>
      <c r="B386">
        <f>IF(Prices!E386="","",Prices!E386)</f>
        <v/>
      </c>
      <c r="C386">
        <f>IF(Prices!C386="","",Prices!C386)</f>
        <v/>
      </c>
      <c r="D386">
        <f>IF(Prices!D386="","",Prices!D386)</f>
        <v/>
      </c>
      <c r="E386">
        <f>AVERAGE(B337:B386)</f>
        <v/>
      </c>
      <c r="F386">
        <f>AVERAGE(B187:B386)</f>
        <v/>
      </c>
      <c r="G386">
        <f>AVERAGE(B367:B386)-2*STDEV.P(B367:B386)</f>
        <v/>
      </c>
      <c r="H386">
        <f>MAX(B386-B385,0)</f>
        <v/>
      </c>
      <c r="I386">
        <f>MAX(B385-B386,0)</f>
        <v/>
      </c>
      <c r="J386">
        <f>(J385*13+H386)/14</f>
        <v/>
      </c>
      <c r="K386">
        <f>(K385*13+I386)/14</f>
        <v/>
      </c>
      <c r="L386">
        <f>IF(K386=0,100,100-100/(1+J386/K386))</f>
        <v/>
      </c>
      <c r="M386">
        <f>IF(MAX(C373:C386)=MIN(D373:D386),50,100*(B386-MIN(D373:D386))/(MAX(C373:C386)-MIN(D373:D386)))</f>
        <v/>
      </c>
      <c r="N386">
        <f>AVERAGE(M384:M386)</f>
        <v/>
      </c>
      <c r="O386">
        <f>IF(ISNUMBER(L386),L386&lt;30,FALSE)</f>
        <v/>
      </c>
      <c r="P386">
        <f>IF(ISNUMBER(N386),N386&lt;20,FALSE)</f>
        <v/>
      </c>
      <c r="Q386">
        <f>IF(AND(ISNUMBER(E366),ISNUMBER(E386)),AND(E386&gt;E366,B386&lt;=E386*1.01,B385&gt;E385*1.01),FALSE)</f>
        <v/>
      </c>
      <c r="R386">
        <f>IF(AND(ISNUMBER(F366),ISNUMBER(F386)),AND(F386&gt;F366,B386&lt;=F386*1.01,B385&gt;F385*1.01),FALSE)</f>
        <v/>
      </c>
      <c r="S386">
        <f>IF(ISNUMBER(G386),B386&lt;G386,FALSE)</f>
        <v/>
      </c>
      <c r="T386">
        <f>OR(O386,P386,Q386,R386,S386)</f>
        <v/>
      </c>
    </row>
    <row r="387">
      <c r="A387">
        <f>IF(Prices!A387="","",Prices!A387)</f>
        <v/>
      </c>
      <c r="B387">
        <f>IF(Prices!E387="","",Prices!E387)</f>
        <v/>
      </c>
      <c r="C387">
        <f>IF(Prices!C387="","",Prices!C387)</f>
        <v/>
      </c>
      <c r="D387">
        <f>IF(Prices!D387="","",Prices!D387)</f>
        <v/>
      </c>
      <c r="E387">
        <f>AVERAGE(B338:B387)</f>
        <v/>
      </c>
      <c r="F387">
        <f>AVERAGE(B188:B387)</f>
        <v/>
      </c>
      <c r="G387">
        <f>AVERAGE(B368:B387)-2*STDEV.P(B368:B387)</f>
        <v/>
      </c>
      <c r="H387">
        <f>MAX(B387-B386,0)</f>
        <v/>
      </c>
      <c r="I387">
        <f>MAX(B386-B387,0)</f>
        <v/>
      </c>
      <c r="J387">
        <f>(J386*13+H387)/14</f>
        <v/>
      </c>
      <c r="K387">
        <f>(K386*13+I387)/14</f>
        <v/>
      </c>
      <c r="L387">
        <f>IF(K387=0,100,100-100/(1+J387/K387))</f>
        <v/>
      </c>
      <c r="M387">
        <f>IF(MAX(C374:C387)=MIN(D374:D387),50,100*(B387-MIN(D374:D387))/(MAX(C374:C387)-MIN(D374:D387)))</f>
        <v/>
      </c>
      <c r="N387">
        <f>AVERAGE(M385:M387)</f>
        <v/>
      </c>
      <c r="O387">
        <f>IF(ISNUMBER(L387),L387&lt;30,FALSE)</f>
        <v/>
      </c>
      <c r="P387">
        <f>IF(ISNUMBER(N387),N387&lt;20,FALSE)</f>
        <v/>
      </c>
      <c r="Q387">
        <f>IF(AND(ISNUMBER(E367),ISNUMBER(E387)),AND(E387&gt;E367,B387&lt;=E387*1.01,B386&gt;E386*1.01),FALSE)</f>
        <v/>
      </c>
      <c r="R387">
        <f>IF(AND(ISNUMBER(F367),ISNUMBER(F387)),AND(F387&gt;F367,B387&lt;=F387*1.01,B386&gt;F386*1.01),FALSE)</f>
        <v/>
      </c>
      <c r="S387">
        <f>IF(ISNUMBER(G387),B387&lt;G387,FALSE)</f>
        <v/>
      </c>
      <c r="T387">
        <f>OR(O387,P387,Q387,R387,S387)</f>
        <v/>
      </c>
    </row>
    <row r="388">
      <c r="A388">
        <f>IF(Prices!A388="","",Prices!A388)</f>
        <v/>
      </c>
      <c r="B388">
        <f>IF(Prices!E388="","",Prices!E388)</f>
        <v/>
      </c>
      <c r="C388">
        <f>IF(Prices!C388="","",Prices!C388)</f>
        <v/>
      </c>
      <c r="D388">
        <f>IF(Prices!D388="","",Prices!D388)</f>
        <v/>
      </c>
      <c r="E388">
        <f>AVERAGE(B339:B388)</f>
        <v/>
      </c>
      <c r="F388">
        <f>AVERAGE(B189:B388)</f>
        <v/>
      </c>
      <c r="G388">
        <f>AVERAGE(B369:B388)-2*STDEV.P(B369:B388)</f>
        <v/>
      </c>
      <c r="H388">
        <f>MAX(B388-B387,0)</f>
        <v/>
      </c>
      <c r="I388">
        <f>MAX(B387-B388,0)</f>
        <v/>
      </c>
      <c r="J388">
        <f>(J387*13+H388)/14</f>
        <v/>
      </c>
      <c r="K388">
        <f>(K387*13+I388)/14</f>
        <v/>
      </c>
      <c r="L388">
        <f>IF(K388=0,100,100-100/(1+J388/K388))</f>
        <v/>
      </c>
      <c r="M388">
        <f>IF(MAX(C375:C388)=MIN(D375:D388),50,100*(B388-MIN(D375:D388))/(MAX(C375:C388)-MIN(D375:D388)))</f>
        <v/>
      </c>
      <c r="N388">
        <f>AVERAGE(M386:M388)</f>
        <v/>
      </c>
      <c r="O388">
        <f>IF(ISNUMBER(L388),L388&lt;30,FALSE)</f>
        <v/>
      </c>
      <c r="P388">
        <f>IF(ISNUMBER(N388),N388&lt;20,FALSE)</f>
        <v/>
      </c>
      <c r="Q388">
        <f>IF(AND(ISNUMBER(E368),ISNUMBER(E388)),AND(E388&gt;E368,B388&lt;=E388*1.01,B387&gt;E387*1.01),FALSE)</f>
        <v/>
      </c>
      <c r="R388">
        <f>IF(AND(ISNUMBER(F368),ISNUMBER(F388)),AND(F388&gt;F368,B388&lt;=F388*1.01,B387&gt;F387*1.01),FALSE)</f>
        <v/>
      </c>
      <c r="S388">
        <f>IF(ISNUMBER(G388),B388&lt;G388,FALSE)</f>
        <v/>
      </c>
      <c r="T388">
        <f>OR(O388,P388,Q388,R388,S388)</f>
        <v/>
      </c>
    </row>
    <row r="389">
      <c r="A389">
        <f>IF(Prices!A389="","",Prices!A389)</f>
        <v/>
      </c>
      <c r="B389">
        <f>IF(Prices!E389="","",Prices!E389)</f>
        <v/>
      </c>
      <c r="C389">
        <f>IF(Prices!C389="","",Prices!C389)</f>
        <v/>
      </c>
      <c r="D389">
        <f>IF(Prices!D389="","",Prices!D389)</f>
        <v/>
      </c>
      <c r="E389">
        <f>AVERAGE(B340:B389)</f>
        <v/>
      </c>
      <c r="F389">
        <f>AVERAGE(B190:B389)</f>
        <v/>
      </c>
      <c r="G389">
        <f>AVERAGE(B370:B389)-2*STDEV.P(B370:B389)</f>
        <v/>
      </c>
      <c r="H389">
        <f>MAX(B389-B388,0)</f>
        <v/>
      </c>
      <c r="I389">
        <f>MAX(B388-B389,0)</f>
        <v/>
      </c>
      <c r="J389">
        <f>(J388*13+H389)/14</f>
        <v/>
      </c>
      <c r="K389">
        <f>(K388*13+I389)/14</f>
        <v/>
      </c>
      <c r="L389">
        <f>IF(K389=0,100,100-100/(1+J389/K389))</f>
        <v/>
      </c>
      <c r="M389">
        <f>IF(MAX(C376:C389)=MIN(D376:D389),50,100*(B389-MIN(D376:D389))/(MAX(C376:C389)-MIN(D376:D389)))</f>
        <v/>
      </c>
      <c r="N389">
        <f>AVERAGE(M387:M389)</f>
        <v/>
      </c>
      <c r="O389">
        <f>IF(ISNUMBER(L389),L389&lt;30,FALSE)</f>
        <v/>
      </c>
      <c r="P389">
        <f>IF(ISNUMBER(N389),N389&lt;20,FALSE)</f>
        <v/>
      </c>
      <c r="Q389">
        <f>IF(AND(ISNUMBER(E369),ISNUMBER(E389)),AND(E389&gt;E369,B389&lt;=E389*1.01,B388&gt;E388*1.01),FALSE)</f>
        <v/>
      </c>
      <c r="R389">
        <f>IF(AND(ISNUMBER(F369),ISNUMBER(F389)),AND(F389&gt;F369,B389&lt;=F389*1.01,B388&gt;F388*1.01),FALSE)</f>
        <v/>
      </c>
      <c r="S389">
        <f>IF(ISNUMBER(G389),B389&lt;G389,FALSE)</f>
        <v/>
      </c>
      <c r="T389">
        <f>OR(O389,P389,Q389,R389,S389)</f>
        <v/>
      </c>
    </row>
    <row r="390">
      <c r="A390">
        <f>IF(Prices!A390="","",Prices!A390)</f>
        <v/>
      </c>
      <c r="B390">
        <f>IF(Prices!E390="","",Prices!E390)</f>
        <v/>
      </c>
      <c r="C390">
        <f>IF(Prices!C390="","",Prices!C390)</f>
        <v/>
      </c>
      <c r="D390">
        <f>IF(Prices!D390="","",Prices!D390)</f>
        <v/>
      </c>
      <c r="E390">
        <f>AVERAGE(B341:B390)</f>
        <v/>
      </c>
      <c r="F390">
        <f>AVERAGE(B191:B390)</f>
        <v/>
      </c>
      <c r="G390">
        <f>AVERAGE(B371:B390)-2*STDEV.P(B371:B390)</f>
        <v/>
      </c>
      <c r="H390">
        <f>MAX(B390-B389,0)</f>
        <v/>
      </c>
      <c r="I390">
        <f>MAX(B389-B390,0)</f>
        <v/>
      </c>
      <c r="J390">
        <f>(J389*13+H390)/14</f>
        <v/>
      </c>
      <c r="K390">
        <f>(K389*13+I390)/14</f>
        <v/>
      </c>
      <c r="L390">
        <f>IF(K390=0,100,100-100/(1+J390/K390))</f>
        <v/>
      </c>
      <c r="M390">
        <f>IF(MAX(C377:C390)=MIN(D377:D390),50,100*(B390-MIN(D377:D390))/(MAX(C377:C390)-MIN(D377:D390)))</f>
        <v/>
      </c>
      <c r="N390">
        <f>AVERAGE(M388:M390)</f>
        <v/>
      </c>
      <c r="O390">
        <f>IF(ISNUMBER(L390),L390&lt;30,FALSE)</f>
        <v/>
      </c>
      <c r="P390">
        <f>IF(ISNUMBER(N390),N390&lt;20,FALSE)</f>
        <v/>
      </c>
      <c r="Q390">
        <f>IF(AND(ISNUMBER(E370),ISNUMBER(E390)),AND(E390&gt;E370,B390&lt;=E390*1.01,B389&gt;E389*1.01),FALSE)</f>
        <v/>
      </c>
      <c r="R390">
        <f>IF(AND(ISNUMBER(F370),ISNUMBER(F390)),AND(F390&gt;F370,B390&lt;=F390*1.01,B389&gt;F389*1.01),FALSE)</f>
        <v/>
      </c>
      <c r="S390">
        <f>IF(ISNUMBER(G390),B390&lt;G390,FALSE)</f>
        <v/>
      </c>
      <c r="T390">
        <f>OR(O390,P390,Q390,R390,S390)</f>
        <v/>
      </c>
    </row>
    <row r="391">
      <c r="A391">
        <f>IF(Prices!A391="","",Prices!A391)</f>
        <v/>
      </c>
      <c r="B391">
        <f>IF(Prices!E391="","",Prices!E391)</f>
        <v/>
      </c>
      <c r="C391">
        <f>IF(Prices!C391="","",Prices!C391)</f>
        <v/>
      </c>
      <c r="D391">
        <f>IF(Prices!D391="","",Prices!D391)</f>
        <v/>
      </c>
      <c r="E391">
        <f>AVERAGE(B342:B391)</f>
        <v/>
      </c>
      <c r="F391">
        <f>AVERAGE(B192:B391)</f>
        <v/>
      </c>
      <c r="G391">
        <f>AVERAGE(B372:B391)-2*STDEV.P(B372:B391)</f>
        <v/>
      </c>
      <c r="H391">
        <f>MAX(B391-B390,0)</f>
        <v/>
      </c>
      <c r="I391">
        <f>MAX(B390-B391,0)</f>
        <v/>
      </c>
      <c r="J391">
        <f>(J390*13+H391)/14</f>
        <v/>
      </c>
      <c r="K391">
        <f>(K390*13+I391)/14</f>
        <v/>
      </c>
      <c r="L391">
        <f>IF(K391=0,100,100-100/(1+J391/K391))</f>
        <v/>
      </c>
      <c r="M391">
        <f>IF(MAX(C378:C391)=MIN(D378:D391),50,100*(B391-MIN(D378:D391))/(MAX(C378:C391)-MIN(D378:D391)))</f>
        <v/>
      </c>
      <c r="N391">
        <f>AVERAGE(M389:M391)</f>
        <v/>
      </c>
      <c r="O391">
        <f>IF(ISNUMBER(L391),L391&lt;30,FALSE)</f>
        <v/>
      </c>
      <c r="P391">
        <f>IF(ISNUMBER(N391),N391&lt;20,FALSE)</f>
        <v/>
      </c>
      <c r="Q391">
        <f>IF(AND(ISNUMBER(E371),ISNUMBER(E391)),AND(E391&gt;E371,B391&lt;=E391*1.01,B390&gt;E390*1.01),FALSE)</f>
        <v/>
      </c>
      <c r="R391">
        <f>IF(AND(ISNUMBER(F371),ISNUMBER(F391)),AND(F391&gt;F371,B391&lt;=F391*1.01,B390&gt;F390*1.01),FALSE)</f>
        <v/>
      </c>
      <c r="S391">
        <f>IF(ISNUMBER(G391),B391&lt;G391,FALSE)</f>
        <v/>
      </c>
      <c r="T391">
        <f>OR(O391,P391,Q391,R391,S391)</f>
        <v/>
      </c>
    </row>
    <row r="392">
      <c r="A392">
        <f>IF(Prices!A392="","",Prices!A392)</f>
        <v/>
      </c>
      <c r="B392">
        <f>IF(Prices!E392="","",Prices!E392)</f>
        <v/>
      </c>
      <c r="C392">
        <f>IF(Prices!C392="","",Prices!C392)</f>
        <v/>
      </c>
      <c r="D392">
        <f>IF(Prices!D392="","",Prices!D392)</f>
        <v/>
      </c>
      <c r="E392">
        <f>AVERAGE(B343:B392)</f>
        <v/>
      </c>
      <c r="F392">
        <f>AVERAGE(B193:B392)</f>
        <v/>
      </c>
      <c r="G392">
        <f>AVERAGE(B373:B392)-2*STDEV.P(B373:B392)</f>
        <v/>
      </c>
      <c r="H392">
        <f>MAX(B392-B391,0)</f>
        <v/>
      </c>
      <c r="I392">
        <f>MAX(B391-B392,0)</f>
        <v/>
      </c>
      <c r="J392">
        <f>(J391*13+H392)/14</f>
        <v/>
      </c>
      <c r="K392">
        <f>(K391*13+I392)/14</f>
        <v/>
      </c>
      <c r="L392">
        <f>IF(K392=0,100,100-100/(1+J392/K392))</f>
        <v/>
      </c>
      <c r="M392">
        <f>IF(MAX(C379:C392)=MIN(D379:D392),50,100*(B392-MIN(D379:D392))/(MAX(C379:C392)-MIN(D379:D392)))</f>
        <v/>
      </c>
      <c r="N392">
        <f>AVERAGE(M390:M392)</f>
        <v/>
      </c>
      <c r="O392">
        <f>IF(ISNUMBER(L392),L392&lt;30,FALSE)</f>
        <v/>
      </c>
      <c r="P392">
        <f>IF(ISNUMBER(N392),N392&lt;20,FALSE)</f>
        <v/>
      </c>
      <c r="Q392">
        <f>IF(AND(ISNUMBER(E372),ISNUMBER(E392)),AND(E392&gt;E372,B392&lt;=E392*1.01,B391&gt;E391*1.01),FALSE)</f>
        <v/>
      </c>
      <c r="R392">
        <f>IF(AND(ISNUMBER(F372),ISNUMBER(F392)),AND(F392&gt;F372,B392&lt;=F392*1.01,B391&gt;F391*1.01),FALSE)</f>
        <v/>
      </c>
      <c r="S392">
        <f>IF(ISNUMBER(G392),B392&lt;G392,FALSE)</f>
        <v/>
      </c>
      <c r="T392">
        <f>OR(O392,P392,Q392,R392,S392)</f>
        <v/>
      </c>
    </row>
    <row r="393">
      <c r="A393">
        <f>IF(Prices!A393="","",Prices!A393)</f>
        <v/>
      </c>
      <c r="B393">
        <f>IF(Prices!E393="","",Prices!E393)</f>
        <v/>
      </c>
      <c r="C393">
        <f>IF(Prices!C393="","",Prices!C393)</f>
        <v/>
      </c>
      <c r="D393">
        <f>IF(Prices!D393="","",Prices!D393)</f>
        <v/>
      </c>
      <c r="E393">
        <f>AVERAGE(B344:B393)</f>
        <v/>
      </c>
      <c r="F393">
        <f>AVERAGE(B194:B393)</f>
        <v/>
      </c>
      <c r="G393">
        <f>AVERAGE(B374:B393)-2*STDEV.P(B374:B393)</f>
        <v/>
      </c>
      <c r="H393">
        <f>MAX(B393-B392,0)</f>
        <v/>
      </c>
      <c r="I393">
        <f>MAX(B392-B393,0)</f>
        <v/>
      </c>
      <c r="J393">
        <f>(J392*13+H393)/14</f>
        <v/>
      </c>
      <c r="K393">
        <f>(K392*13+I393)/14</f>
        <v/>
      </c>
      <c r="L393">
        <f>IF(K393=0,100,100-100/(1+J393/K393))</f>
        <v/>
      </c>
      <c r="M393">
        <f>IF(MAX(C380:C393)=MIN(D380:D393),50,100*(B393-MIN(D380:D393))/(MAX(C380:C393)-MIN(D380:D393)))</f>
        <v/>
      </c>
      <c r="N393">
        <f>AVERAGE(M391:M393)</f>
        <v/>
      </c>
      <c r="O393">
        <f>IF(ISNUMBER(L393),L393&lt;30,FALSE)</f>
        <v/>
      </c>
      <c r="P393">
        <f>IF(ISNUMBER(N393),N393&lt;20,FALSE)</f>
        <v/>
      </c>
      <c r="Q393">
        <f>IF(AND(ISNUMBER(E373),ISNUMBER(E393)),AND(E393&gt;E373,B393&lt;=E393*1.01,B392&gt;E392*1.01),FALSE)</f>
        <v/>
      </c>
      <c r="R393">
        <f>IF(AND(ISNUMBER(F373),ISNUMBER(F393)),AND(F393&gt;F373,B393&lt;=F393*1.01,B392&gt;F392*1.01),FALSE)</f>
        <v/>
      </c>
      <c r="S393">
        <f>IF(ISNUMBER(G393),B393&lt;G393,FALSE)</f>
        <v/>
      </c>
      <c r="T393">
        <f>OR(O393,P393,Q393,R393,S393)</f>
        <v/>
      </c>
    </row>
    <row r="394">
      <c r="A394">
        <f>IF(Prices!A394="","",Prices!A394)</f>
        <v/>
      </c>
      <c r="B394">
        <f>IF(Prices!E394="","",Prices!E394)</f>
        <v/>
      </c>
      <c r="C394">
        <f>IF(Prices!C394="","",Prices!C394)</f>
        <v/>
      </c>
      <c r="D394">
        <f>IF(Prices!D394="","",Prices!D394)</f>
        <v/>
      </c>
      <c r="E394">
        <f>AVERAGE(B345:B394)</f>
        <v/>
      </c>
      <c r="F394">
        <f>AVERAGE(B195:B394)</f>
        <v/>
      </c>
      <c r="G394">
        <f>AVERAGE(B375:B394)-2*STDEV.P(B375:B394)</f>
        <v/>
      </c>
      <c r="H394">
        <f>MAX(B394-B393,0)</f>
        <v/>
      </c>
      <c r="I394">
        <f>MAX(B393-B394,0)</f>
        <v/>
      </c>
      <c r="J394">
        <f>(J393*13+H394)/14</f>
        <v/>
      </c>
      <c r="K394">
        <f>(K393*13+I394)/14</f>
        <v/>
      </c>
      <c r="L394">
        <f>IF(K394=0,100,100-100/(1+J394/K394))</f>
        <v/>
      </c>
      <c r="M394">
        <f>IF(MAX(C381:C394)=MIN(D381:D394),50,100*(B394-MIN(D381:D394))/(MAX(C381:C394)-MIN(D381:D394)))</f>
        <v/>
      </c>
      <c r="N394">
        <f>AVERAGE(M392:M394)</f>
        <v/>
      </c>
      <c r="O394">
        <f>IF(ISNUMBER(L394),L394&lt;30,FALSE)</f>
        <v/>
      </c>
      <c r="P394">
        <f>IF(ISNUMBER(N394),N394&lt;20,FALSE)</f>
        <v/>
      </c>
      <c r="Q394">
        <f>IF(AND(ISNUMBER(E374),ISNUMBER(E394)),AND(E394&gt;E374,B394&lt;=E394*1.01,B393&gt;E393*1.01),FALSE)</f>
        <v/>
      </c>
      <c r="R394">
        <f>IF(AND(ISNUMBER(F374),ISNUMBER(F394)),AND(F394&gt;F374,B394&lt;=F394*1.01,B393&gt;F393*1.01),FALSE)</f>
        <v/>
      </c>
      <c r="S394">
        <f>IF(ISNUMBER(G394),B394&lt;G394,FALSE)</f>
        <v/>
      </c>
      <c r="T394">
        <f>OR(O394,P394,Q394,R394,S394)</f>
        <v/>
      </c>
    </row>
    <row r="395">
      <c r="A395">
        <f>IF(Prices!A395="","",Prices!A395)</f>
        <v/>
      </c>
      <c r="B395">
        <f>IF(Prices!E395="","",Prices!E395)</f>
        <v/>
      </c>
      <c r="C395">
        <f>IF(Prices!C395="","",Prices!C395)</f>
        <v/>
      </c>
      <c r="D395">
        <f>IF(Prices!D395="","",Prices!D395)</f>
        <v/>
      </c>
      <c r="E395">
        <f>AVERAGE(B346:B395)</f>
        <v/>
      </c>
      <c r="F395">
        <f>AVERAGE(B196:B395)</f>
        <v/>
      </c>
      <c r="G395">
        <f>AVERAGE(B376:B395)-2*STDEV.P(B376:B395)</f>
        <v/>
      </c>
      <c r="H395">
        <f>MAX(B395-B394,0)</f>
        <v/>
      </c>
      <c r="I395">
        <f>MAX(B394-B395,0)</f>
        <v/>
      </c>
      <c r="J395">
        <f>(J394*13+H395)/14</f>
        <v/>
      </c>
      <c r="K395">
        <f>(K394*13+I395)/14</f>
        <v/>
      </c>
      <c r="L395">
        <f>IF(K395=0,100,100-100/(1+J395/K395))</f>
        <v/>
      </c>
      <c r="M395">
        <f>IF(MAX(C382:C395)=MIN(D382:D395),50,100*(B395-MIN(D382:D395))/(MAX(C382:C395)-MIN(D382:D395)))</f>
        <v/>
      </c>
      <c r="N395">
        <f>AVERAGE(M393:M395)</f>
        <v/>
      </c>
      <c r="O395">
        <f>IF(ISNUMBER(L395),L395&lt;30,FALSE)</f>
        <v/>
      </c>
      <c r="P395">
        <f>IF(ISNUMBER(N395),N395&lt;20,FALSE)</f>
        <v/>
      </c>
      <c r="Q395">
        <f>IF(AND(ISNUMBER(E375),ISNUMBER(E395)),AND(E395&gt;E375,B395&lt;=E395*1.01,B394&gt;E394*1.01),FALSE)</f>
        <v/>
      </c>
      <c r="R395">
        <f>IF(AND(ISNUMBER(F375),ISNUMBER(F395)),AND(F395&gt;F375,B395&lt;=F395*1.01,B394&gt;F394*1.01),FALSE)</f>
        <v/>
      </c>
      <c r="S395">
        <f>IF(ISNUMBER(G395),B395&lt;G395,FALSE)</f>
        <v/>
      </c>
      <c r="T395">
        <f>OR(O395,P395,Q395,R395,S395)</f>
        <v/>
      </c>
    </row>
    <row r="396">
      <c r="A396">
        <f>IF(Prices!A396="","",Prices!A396)</f>
        <v/>
      </c>
      <c r="B396">
        <f>IF(Prices!E396="","",Prices!E396)</f>
        <v/>
      </c>
      <c r="C396">
        <f>IF(Prices!C396="","",Prices!C396)</f>
        <v/>
      </c>
      <c r="D396">
        <f>IF(Prices!D396="","",Prices!D396)</f>
        <v/>
      </c>
      <c r="E396">
        <f>AVERAGE(B347:B396)</f>
        <v/>
      </c>
      <c r="F396">
        <f>AVERAGE(B197:B396)</f>
        <v/>
      </c>
      <c r="G396">
        <f>AVERAGE(B377:B396)-2*STDEV.P(B377:B396)</f>
        <v/>
      </c>
      <c r="H396">
        <f>MAX(B396-B395,0)</f>
        <v/>
      </c>
      <c r="I396">
        <f>MAX(B395-B396,0)</f>
        <v/>
      </c>
      <c r="J396">
        <f>(J395*13+H396)/14</f>
        <v/>
      </c>
      <c r="K396">
        <f>(K395*13+I396)/14</f>
        <v/>
      </c>
      <c r="L396">
        <f>IF(K396=0,100,100-100/(1+J396/K396))</f>
        <v/>
      </c>
      <c r="M396">
        <f>IF(MAX(C383:C396)=MIN(D383:D396),50,100*(B396-MIN(D383:D396))/(MAX(C383:C396)-MIN(D383:D396)))</f>
        <v/>
      </c>
      <c r="N396">
        <f>AVERAGE(M394:M396)</f>
        <v/>
      </c>
      <c r="O396">
        <f>IF(ISNUMBER(L396),L396&lt;30,FALSE)</f>
        <v/>
      </c>
      <c r="P396">
        <f>IF(ISNUMBER(N396),N396&lt;20,FALSE)</f>
        <v/>
      </c>
      <c r="Q396">
        <f>IF(AND(ISNUMBER(E376),ISNUMBER(E396)),AND(E396&gt;E376,B396&lt;=E396*1.01,B395&gt;E395*1.01),FALSE)</f>
        <v/>
      </c>
      <c r="R396">
        <f>IF(AND(ISNUMBER(F376),ISNUMBER(F396)),AND(F396&gt;F376,B396&lt;=F396*1.01,B395&gt;F395*1.01),FALSE)</f>
        <v/>
      </c>
      <c r="S396">
        <f>IF(ISNUMBER(G396),B396&lt;G396,FALSE)</f>
        <v/>
      </c>
      <c r="T396">
        <f>OR(O396,P396,Q396,R396,S396)</f>
        <v/>
      </c>
    </row>
    <row r="397">
      <c r="A397">
        <f>IF(Prices!A397="","",Prices!A397)</f>
        <v/>
      </c>
      <c r="B397">
        <f>IF(Prices!E397="","",Prices!E397)</f>
        <v/>
      </c>
      <c r="C397">
        <f>IF(Prices!C397="","",Prices!C397)</f>
        <v/>
      </c>
      <c r="D397">
        <f>IF(Prices!D397="","",Prices!D397)</f>
        <v/>
      </c>
      <c r="E397">
        <f>AVERAGE(B348:B397)</f>
        <v/>
      </c>
      <c r="F397">
        <f>AVERAGE(B198:B397)</f>
        <v/>
      </c>
      <c r="G397">
        <f>AVERAGE(B378:B397)-2*STDEV.P(B378:B397)</f>
        <v/>
      </c>
      <c r="H397">
        <f>MAX(B397-B396,0)</f>
        <v/>
      </c>
      <c r="I397">
        <f>MAX(B396-B397,0)</f>
        <v/>
      </c>
      <c r="J397">
        <f>(J396*13+H397)/14</f>
        <v/>
      </c>
      <c r="K397">
        <f>(K396*13+I397)/14</f>
        <v/>
      </c>
      <c r="L397">
        <f>IF(K397=0,100,100-100/(1+J397/K397))</f>
        <v/>
      </c>
      <c r="M397">
        <f>IF(MAX(C384:C397)=MIN(D384:D397),50,100*(B397-MIN(D384:D397))/(MAX(C384:C397)-MIN(D384:D397)))</f>
        <v/>
      </c>
      <c r="N397">
        <f>AVERAGE(M395:M397)</f>
        <v/>
      </c>
      <c r="O397">
        <f>IF(ISNUMBER(L397),L397&lt;30,FALSE)</f>
        <v/>
      </c>
      <c r="P397">
        <f>IF(ISNUMBER(N397),N397&lt;20,FALSE)</f>
        <v/>
      </c>
      <c r="Q397">
        <f>IF(AND(ISNUMBER(E377),ISNUMBER(E397)),AND(E397&gt;E377,B397&lt;=E397*1.01,B396&gt;E396*1.01),FALSE)</f>
        <v/>
      </c>
      <c r="R397">
        <f>IF(AND(ISNUMBER(F377),ISNUMBER(F397)),AND(F397&gt;F377,B397&lt;=F397*1.01,B396&gt;F396*1.01),FALSE)</f>
        <v/>
      </c>
      <c r="S397">
        <f>IF(ISNUMBER(G397),B397&lt;G397,FALSE)</f>
        <v/>
      </c>
      <c r="T397">
        <f>OR(O397,P397,Q397,R397,S397)</f>
        <v/>
      </c>
    </row>
    <row r="398">
      <c r="A398">
        <f>IF(Prices!A398="","",Prices!A398)</f>
        <v/>
      </c>
      <c r="B398">
        <f>IF(Prices!E398="","",Prices!E398)</f>
        <v/>
      </c>
      <c r="C398">
        <f>IF(Prices!C398="","",Prices!C398)</f>
        <v/>
      </c>
      <c r="D398">
        <f>IF(Prices!D398="","",Prices!D398)</f>
        <v/>
      </c>
      <c r="E398">
        <f>AVERAGE(B349:B398)</f>
        <v/>
      </c>
      <c r="F398">
        <f>AVERAGE(B199:B398)</f>
        <v/>
      </c>
      <c r="G398">
        <f>AVERAGE(B379:B398)-2*STDEV.P(B379:B398)</f>
        <v/>
      </c>
      <c r="H398">
        <f>MAX(B398-B397,0)</f>
        <v/>
      </c>
      <c r="I398">
        <f>MAX(B397-B398,0)</f>
        <v/>
      </c>
      <c r="J398">
        <f>(J397*13+H398)/14</f>
        <v/>
      </c>
      <c r="K398">
        <f>(K397*13+I398)/14</f>
        <v/>
      </c>
      <c r="L398">
        <f>IF(K398=0,100,100-100/(1+J398/K398))</f>
        <v/>
      </c>
      <c r="M398">
        <f>IF(MAX(C385:C398)=MIN(D385:D398),50,100*(B398-MIN(D385:D398))/(MAX(C385:C398)-MIN(D385:D398)))</f>
        <v/>
      </c>
      <c r="N398">
        <f>AVERAGE(M396:M398)</f>
        <v/>
      </c>
      <c r="O398">
        <f>IF(ISNUMBER(L398),L398&lt;30,FALSE)</f>
        <v/>
      </c>
      <c r="P398">
        <f>IF(ISNUMBER(N398),N398&lt;20,FALSE)</f>
        <v/>
      </c>
      <c r="Q398">
        <f>IF(AND(ISNUMBER(E378),ISNUMBER(E398)),AND(E398&gt;E378,B398&lt;=E398*1.01,B397&gt;E397*1.01),FALSE)</f>
        <v/>
      </c>
      <c r="R398">
        <f>IF(AND(ISNUMBER(F378),ISNUMBER(F398)),AND(F398&gt;F378,B398&lt;=F398*1.01,B397&gt;F397*1.01),FALSE)</f>
        <v/>
      </c>
      <c r="S398">
        <f>IF(ISNUMBER(G398),B398&lt;G398,FALSE)</f>
        <v/>
      </c>
      <c r="T398">
        <f>OR(O398,P398,Q398,R398,S398)</f>
        <v/>
      </c>
    </row>
    <row r="399">
      <c r="A399">
        <f>IF(Prices!A399="","",Prices!A399)</f>
        <v/>
      </c>
      <c r="B399">
        <f>IF(Prices!E399="","",Prices!E399)</f>
        <v/>
      </c>
      <c r="C399">
        <f>IF(Prices!C399="","",Prices!C399)</f>
        <v/>
      </c>
      <c r="D399">
        <f>IF(Prices!D399="","",Prices!D399)</f>
        <v/>
      </c>
      <c r="E399">
        <f>AVERAGE(B350:B399)</f>
        <v/>
      </c>
      <c r="F399">
        <f>AVERAGE(B200:B399)</f>
        <v/>
      </c>
      <c r="G399">
        <f>AVERAGE(B380:B399)-2*STDEV.P(B380:B399)</f>
        <v/>
      </c>
      <c r="H399">
        <f>MAX(B399-B398,0)</f>
        <v/>
      </c>
      <c r="I399">
        <f>MAX(B398-B399,0)</f>
        <v/>
      </c>
      <c r="J399">
        <f>(J398*13+H399)/14</f>
        <v/>
      </c>
      <c r="K399">
        <f>(K398*13+I399)/14</f>
        <v/>
      </c>
      <c r="L399">
        <f>IF(K399=0,100,100-100/(1+J399/K399))</f>
        <v/>
      </c>
      <c r="M399">
        <f>IF(MAX(C386:C399)=MIN(D386:D399),50,100*(B399-MIN(D386:D399))/(MAX(C386:C399)-MIN(D386:D399)))</f>
        <v/>
      </c>
      <c r="N399">
        <f>AVERAGE(M397:M399)</f>
        <v/>
      </c>
      <c r="O399">
        <f>IF(ISNUMBER(L399),L399&lt;30,FALSE)</f>
        <v/>
      </c>
      <c r="P399">
        <f>IF(ISNUMBER(N399),N399&lt;20,FALSE)</f>
        <v/>
      </c>
      <c r="Q399">
        <f>IF(AND(ISNUMBER(E379),ISNUMBER(E399)),AND(E399&gt;E379,B399&lt;=E399*1.01,B398&gt;E398*1.01),FALSE)</f>
        <v/>
      </c>
      <c r="R399">
        <f>IF(AND(ISNUMBER(F379),ISNUMBER(F399)),AND(F399&gt;F379,B399&lt;=F399*1.01,B398&gt;F398*1.01),FALSE)</f>
        <v/>
      </c>
      <c r="S399">
        <f>IF(ISNUMBER(G399),B399&lt;G399,FALSE)</f>
        <v/>
      </c>
      <c r="T399">
        <f>OR(O399,P399,Q399,R399,S399)</f>
        <v/>
      </c>
    </row>
    <row r="400">
      <c r="A400">
        <f>IF(Prices!A400="","",Prices!A400)</f>
        <v/>
      </c>
      <c r="B400">
        <f>IF(Prices!E400="","",Prices!E400)</f>
        <v/>
      </c>
      <c r="C400">
        <f>IF(Prices!C400="","",Prices!C400)</f>
        <v/>
      </c>
      <c r="D400">
        <f>IF(Prices!D400="","",Prices!D400)</f>
        <v/>
      </c>
      <c r="E400">
        <f>AVERAGE(B351:B400)</f>
        <v/>
      </c>
      <c r="F400">
        <f>AVERAGE(B201:B400)</f>
        <v/>
      </c>
      <c r="G400">
        <f>AVERAGE(B381:B400)-2*STDEV.P(B381:B400)</f>
        <v/>
      </c>
      <c r="H400">
        <f>MAX(B400-B399,0)</f>
        <v/>
      </c>
      <c r="I400">
        <f>MAX(B399-B400,0)</f>
        <v/>
      </c>
      <c r="J400">
        <f>(J399*13+H400)/14</f>
        <v/>
      </c>
      <c r="K400">
        <f>(K399*13+I400)/14</f>
        <v/>
      </c>
      <c r="L400">
        <f>IF(K400=0,100,100-100/(1+J400/K400))</f>
        <v/>
      </c>
      <c r="M400">
        <f>IF(MAX(C387:C400)=MIN(D387:D400),50,100*(B400-MIN(D387:D400))/(MAX(C387:C400)-MIN(D387:D400)))</f>
        <v/>
      </c>
      <c r="N400">
        <f>AVERAGE(M398:M400)</f>
        <v/>
      </c>
      <c r="O400">
        <f>IF(ISNUMBER(L400),L400&lt;30,FALSE)</f>
        <v/>
      </c>
      <c r="P400">
        <f>IF(ISNUMBER(N400),N400&lt;20,FALSE)</f>
        <v/>
      </c>
      <c r="Q400">
        <f>IF(AND(ISNUMBER(E380),ISNUMBER(E400)),AND(E400&gt;E380,B400&lt;=E400*1.01,B399&gt;E399*1.01),FALSE)</f>
        <v/>
      </c>
      <c r="R400">
        <f>IF(AND(ISNUMBER(F380),ISNUMBER(F400)),AND(F400&gt;F380,B400&lt;=F400*1.01,B399&gt;F399*1.01),FALSE)</f>
        <v/>
      </c>
      <c r="S400">
        <f>IF(ISNUMBER(G400),B400&lt;G400,FALSE)</f>
        <v/>
      </c>
      <c r="T400">
        <f>OR(O400,P400,Q400,R400,S400)</f>
        <v/>
      </c>
    </row>
    <row r="401">
      <c r="A401">
        <f>IF(Prices!A401="","",Prices!A401)</f>
        <v/>
      </c>
      <c r="B401">
        <f>IF(Prices!E401="","",Prices!E401)</f>
        <v/>
      </c>
      <c r="C401">
        <f>IF(Prices!C401="","",Prices!C401)</f>
        <v/>
      </c>
      <c r="D401">
        <f>IF(Prices!D401="","",Prices!D401)</f>
        <v/>
      </c>
      <c r="E401">
        <f>AVERAGE(B352:B401)</f>
        <v/>
      </c>
      <c r="F401">
        <f>AVERAGE(B202:B401)</f>
        <v/>
      </c>
      <c r="G401">
        <f>AVERAGE(B382:B401)-2*STDEV.P(B382:B401)</f>
        <v/>
      </c>
      <c r="H401">
        <f>MAX(B401-B400,0)</f>
        <v/>
      </c>
      <c r="I401">
        <f>MAX(B400-B401,0)</f>
        <v/>
      </c>
      <c r="J401">
        <f>(J400*13+H401)/14</f>
        <v/>
      </c>
      <c r="K401">
        <f>(K400*13+I401)/14</f>
        <v/>
      </c>
      <c r="L401">
        <f>IF(K401=0,100,100-100/(1+J401/K401))</f>
        <v/>
      </c>
      <c r="M401">
        <f>IF(MAX(C388:C401)=MIN(D388:D401),50,100*(B401-MIN(D388:D401))/(MAX(C388:C401)-MIN(D388:D401)))</f>
        <v/>
      </c>
      <c r="N401">
        <f>AVERAGE(M399:M401)</f>
        <v/>
      </c>
      <c r="O401">
        <f>IF(ISNUMBER(L401),L401&lt;30,FALSE)</f>
        <v/>
      </c>
      <c r="P401">
        <f>IF(ISNUMBER(N401),N401&lt;20,FALSE)</f>
        <v/>
      </c>
      <c r="Q401">
        <f>IF(AND(ISNUMBER(E381),ISNUMBER(E401)),AND(E401&gt;E381,B401&lt;=E401*1.01,B400&gt;E400*1.01),FALSE)</f>
        <v/>
      </c>
      <c r="R401">
        <f>IF(AND(ISNUMBER(F381),ISNUMBER(F401)),AND(F401&gt;F381,B401&lt;=F401*1.01,B400&gt;F400*1.01),FALSE)</f>
        <v/>
      </c>
      <c r="S401">
        <f>IF(ISNUMBER(G401),B401&lt;G401,FALSE)</f>
        <v/>
      </c>
      <c r="T401">
        <f>OR(O401,P401,Q401,R401,S401)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2026-09-29T14:05:18Z</dcterms:created>
  <dcterms:modified xsi:type="dcterms:W3CDTF">2026-09-29T14:05:18Z</dcterms:modified>
</cp:coreProperties>
</file>